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OneDrive\Desktop\"/>
    </mc:Choice>
  </mc:AlternateContent>
  <xr:revisionPtr revIDLastSave="0" documentId="13_ncr:1_{CED88A9B-F549-40EC-9A12-C27105D62FDD}" xr6:coauthVersionLast="47" xr6:coauthVersionMax="47" xr10:uidLastSave="{00000000-0000-0000-0000-000000000000}"/>
  <bookViews>
    <workbookView xWindow="-108" yWindow="-108" windowWidth="23256" windowHeight="12456" activeTab="5" xr2:uid="{00000000-000D-0000-FFFF-FFFF00000000}"/>
  </bookViews>
  <sheets>
    <sheet name="Pivot" sheetId="2" r:id="rId1"/>
    <sheet name="DOUGHNUT CHART" sheetId="4" r:id="rId2"/>
    <sheet name="line chart" sheetId="5" r:id="rId3"/>
    <sheet name="Sales_Data" sheetId="1" r:id="rId4"/>
    <sheet name="DOUGHNUT CHART (2)" sheetId="7" r:id="rId5"/>
    <sheet name="dashboard" sheetId="6" r:id="rId6"/>
  </sheets>
  <definedNames>
    <definedName name="Slicer_Category">#N/A</definedName>
    <definedName name="Slicer_Month">#N/A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2" i="1"/>
</calcChain>
</file>

<file path=xl/sharedStrings.xml><?xml version="1.0" encoding="utf-8"?>
<sst xmlns="http://schemas.openxmlformats.org/spreadsheetml/2006/main" count="1243" uniqueCount="37">
  <si>
    <t>Order_ID</t>
  </si>
  <si>
    <t>Order_Date</t>
  </si>
  <si>
    <t>Region</t>
  </si>
  <si>
    <t>Category</t>
  </si>
  <si>
    <t>Product</t>
  </si>
  <si>
    <t>Quantity</t>
  </si>
  <si>
    <t>Revenue</t>
  </si>
  <si>
    <t>Profit</t>
  </si>
  <si>
    <t>Asia</t>
  </si>
  <si>
    <t>Furniture</t>
  </si>
  <si>
    <t>Table</t>
  </si>
  <si>
    <t>Electronics</t>
  </si>
  <si>
    <t>Mobile</t>
  </si>
  <si>
    <t>Europe</t>
  </si>
  <si>
    <t>Sofa</t>
  </si>
  <si>
    <t>Clothing</t>
  </si>
  <si>
    <t>Jacket</t>
  </si>
  <si>
    <t>Laptop</t>
  </si>
  <si>
    <t>USA</t>
  </si>
  <si>
    <t>Chair</t>
  </si>
  <si>
    <t>Jeans</t>
  </si>
  <si>
    <t>T-Shirt</t>
  </si>
  <si>
    <t>Headphones</t>
  </si>
  <si>
    <t>Month</t>
  </si>
  <si>
    <t>Profit Margin %</t>
  </si>
  <si>
    <t>Sum of Revenue</t>
  </si>
  <si>
    <t>Row Labels</t>
  </si>
  <si>
    <t>Grand Total</t>
  </si>
  <si>
    <t>% of Grand Total</t>
  </si>
  <si>
    <t>Sum of Profit</t>
  </si>
  <si>
    <t>Sum of Profit Margin %</t>
  </si>
  <si>
    <t>Average of Profit Margin %</t>
  </si>
  <si>
    <t>Difference</t>
  </si>
  <si>
    <t>Column Labels</t>
  </si>
  <si>
    <t>Total Sum of Revenue</t>
  </si>
  <si>
    <t>Total Difference</t>
  </si>
  <si>
    <t>Aug-2024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</si>
</sst>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quot;₹&quot;\ #,##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165" fontId="0" fillId="0" borderId="0" xfId="0" applyNumberFormat="1"/>
    <xf numFmtId="0" fontId="0" fillId="0" borderId="0" xfId="0" applyAlignment="1">
      <alignment horizontal="left" indent="1"/>
    </xf>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colors>
    <mruColors>
      <color rgb="FF057510"/>
      <color rgb="FF48C0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[Ecommerce_Sales_Dashboard_Data.xlsx]DOUGHNUT CHART (2)!PivotTable2</c:name>
    <c:fmtId val="3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Doughnut Chart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'DOUGHNUT CHART (2)'!$B$3</c:f>
              <c:strCache>
                <c:ptCount val="1"/>
                <c:pt idx="0">
                  <c:v>Sum of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0E0-4504-8476-D0FA3D800F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CB4-4392-85C7-6BFD64E6620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CB4-4392-85C7-6BFD64E662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 (2)'!$A$4:$A$7</c:f>
              <c:strCache>
                <c:ptCount val="3"/>
                <c:pt idx="0">
                  <c:v>Clothing</c:v>
                </c:pt>
                <c:pt idx="1">
                  <c:v>Electronics</c:v>
                </c:pt>
                <c:pt idx="2">
                  <c:v>Furniture</c:v>
                </c:pt>
              </c:strCache>
            </c:strRef>
          </c:cat>
          <c:val>
            <c:numRef>
              <c:f>'DOUGHNUT CHART (2)'!$B$4:$B$7</c:f>
              <c:numCache>
                <c:formatCode>General</c:formatCode>
                <c:ptCount val="3"/>
                <c:pt idx="0">
                  <c:v>27777</c:v>
                </c:pt>
                <c:pt idx="1">
                  <c:v>27405</c:v>
                </c:pt>
                <c:pt idx="2">
                  <c:v>34219</c:v>
                </c:pt>
              </c:numCache>
            </c:numRef>
          </c:val>
          <c:extLst>
            <c:ext xmlns:c16="http://schemas.microsoft.com/office/drawing/2014/chart" uri="{C3380CC4-5D6E-409C-BE32-E72D297353CC}">
              <c16:uniqueId val="{00000002-90E0-4504-8476-D0FA3D800FFD}"/>
            </c:ext>
          </c:extLst>
        </c:ser>
        <c:ser>
          <c:idx val="1"/>
          <c:order val="1"/>
          <c:tx>
            <c:strRef>
              <c:f>'DOUGHNUT CHART (2)'!$C$3</c:f>
              <c:strCache>
                <c:ptCount val="1"/>
                <c:pt idx="0">
                  <c:v>Average of Profit Margin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90E0-4504-8476-D0FA3D800F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CB4-4392-85C7-6BFD64E6620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CB4-4392-85C7-6BFD64E662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 (2)'!$A$4:$A$7</c:f>
              <c:strCache>
                <c:ptCount val="3"/>
                <c:pt idx="0">
                  <c:v>Clothing</c:v>
                </c:pt>
                <c:pt idx="1">
                  <c:v>Electronics</c:v>
                </c:pt>
                <c:pt idx="2">
                  <c:v>Furniture</c:v>
                </c:pt>
              </c:strCache>
            </c:strRef>
          </c:cat>
          <c:val>
            <c:numRef>
              <c:f>'DOUGHNUT CHART (2)'!$C$4:$C$7</c:f>
              <c:numCache>
                <c:formatCode>0%</c:formatCode>
                <c:ptCount val="3"/>
                <c:pt idx="0">
                  <c:v>0.20969172163450997</c:v>
                </c:pt>
                <c:pt idx="1">
                  <c:v>0.1797020108227613</c:v>
                </c:pt>
                <c:pt idx="2">
                  <c:v>0.23833164114787334</c:v>
                </c:pt>
              </c:numCache>
            </c:numRef>
          </c:val>
          <c:extLst>
            <c:ext xmlns:c16="http://schemas.microsoft.com/office/drawing/2014/chart" uri="{C3380CC4-5D6E-409C-BE32-E72D297353CC}">
              <c16:uniqueId val="{00000005-90E0-4504-8476-D0FA3D800F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[Ecommerce_Sales_Dashboard_Data.xlsx]line chart!PivotTable3</c:name>
    <c:fmtId val="20"/>
  </c:pivotSource>
  <c:chart>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 chart'!$B$3:$B$5</c:f>
              <c:strCache>
                <c:ptCount val="1"/>
                <c:pt idx="0">
                  <c:v>Sum of Revenue - 1</c:v>
                </c:pt>
              </c:strCache>
            </c:strRef>
          </c:tx>
          <c:spPr>
            <a:solidFill>
              <a:schemeClr val="accent6">
                <a:shade val="42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chart'!$B$6:$B$10</c:f>
              <c:numCache>
                <c:formatCode>"₹"\ #,##0</c:formatCode>
                <c:ptCount val="3"/>
                <c:pt idx="0">
                  <c:v>29097</c:v>
                </c:pt>
                <c:pt idx="1">
                  <c:v>17143</c:v>
                </c:pt>
                <c:pt idx="2">
                  <c:v>38330</c:v>
                </c:pt>
              </c:numCache>
            </c:numRef>
          </c:val>
          <c:extLst>
            <c:ext xmlns:c16="http://schemas.microsoft.com/office/drawing/2014/chart" uri="{C3380CC4-5D6E-409C-BE32-E72D297353CC}">
              <c16:uniqueId val="{00000000-4C33-495C-9E18-42CC62DBE251}"/>
            </c:ext>
          </c:extLst>
        </c:ser>
        <c:ser>
          <c:idx val="1"/>
          <c:order val="1"/>
          <c:tx>
            <c:strRef>
              <c:f>'line chart'!$C$3:$C$5</c:f>
              <c:strCache>
                <c:ptCount val="1"/>
                <c:pt idx="0">
                  <c:v>Sum of Revenue - 2</c:v>
                </c:pt>
              </c:strCache>
            </c:strRef>
          </c:tx>
          <c:spPr>
            <a:solidFill>
              <a:schemeClr val="accent6">
                <a:shade val="55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chart'!$C$6:$C$10</c:f>
              <c:numCache>
                <c:formatCode>"₹"\ #,##0</c:formatCode>
                <c:ptCount val="3"/>
                <c:pt idx="0">
                  <c:v>36242</c:v>
                </c:pt>
                <c:pt idx="1">
                  <c:v>3166</c:v>
                </c:pt>
                <c:pt idx="2">
                  <c:v>29084</c:v>
                </c:pt>
              </c:numCache>
            </c:numRef>
          </c:val>
          <c:extLst>
            <c:ext xmlns:c16="http://schemas.microsoft.com/office/drawing/2014/chart" uri="{C3380CC4-5D6E-409C-BE32-E72D297353CC}">
              <c16:uniqueId val="{00000001-4C33-495C-9E18-42CC62DBE251}"/>
            </c:ext>
          </c:extLst>
        </c:ser>
        <c:ser>
          <c:idx val="2"/>
          <c:order val="2"/>
          <c:tx>
            <c:strRef>
              <c:f>'line chart'!$D$3:$D$5</c:f>
              <c:strCache>
                <c:ptCount val="1"/>
                <c:pt idx="0">
                  <c:v>Sum of Revenue - 3</c:v>
                </c:pt>
              </c:strCache>
            </c:strRef>
          </c:tx>
          <c:spPr>
            <a:solidFill>
              <a:schemeClr val="accent6">
                <a:shade val="68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chart'!$D$6:$D$10</c:f>
              <c:numCache>
                <c:formatCode>"₹"\ #,##0</c:formatCode>
                <c:ptCount val="3"/>
                <c:pt idx="0">
                  <c:v>10069</c:v>
                </c:pt>
                <c:pt idx="1">
                  <c:v>34368</c:v>
                </c:pt>
              </c:numCache>
            </c:numRef>
          </c:val>
          <c:extLst>
            <c:ext xmlns:c16="http://schemas.microsoft.com/office/drawing/2014/chart" uri="{C3380CC4-5D6E-409C-BE32-E72D297353CC}">
              <c16:uniqueId val="{0000000B-4C33-495C-9E18-42CC62DBE251}"/>
            </c:ext>
          </c:extLst>
        </c:ser>
        <c:ser>
          <c:idx val="3"/>
          <c:order val="3"/>
          <c:tx>
            <c:strRef>
              <c:f>'line chart'!$E$3:$E$5</c:f>
              <c:strCache>
                <c:ptCount val="1"/>
                <c:pt idx="0">
                  <c:v>Sum of Revenue - 4</c:v>
                </c:pt>
              </c:strCache>
            </c:strRef>
          </c:tx>
          <c:spPr>
            <a:solidFill>
              <a:schemeClr val="accent6">
                <a:shade val="80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chart'!$E$6:$E$10</c:f>
              <c:numCache>
                <c:formatCode>"₹"\ #,##0</c:formatCode>
                <c:ptCount val="3"/>
                <c:pt idx="0">
                  <c:v>47022</c:v>
                </c:pt>
                <c:pt idx="1">
                  <c:v>15697</c:v>
                </c:pt>
                <c:pt idx="2">
                  <c:v>22836</c:v>
                </c:pt>
              </c:numCache>
            </c:numRef>
          </c:val>
          <c:extLst>
            <c:ext xmlns:c16="http://schemas.microsoft.com/office/drawing/2014/chart" uri="{C3380CC4-5D6E-409C-BE32-E72D297353CC}">
              <c16:uniqueId val="{0000000C-4C33-495C-9E18-42CC62DBE251}"/>
            </c:ext>
          </c:extLst>
        </c:ser>
        <c:ser>
          <c:idx val="4"/>
          <c:order val="4"/>
          <c:tx>
            <c:strRef>
              <c:f>'line chart'!$F$3:$F$5</c:f>
              <c:strCache>
                <c:ptCount val="1"/>
                <c:pt idx="0">
                  <c:v>Sum of Revenue - 5</c:v>
                </c:pt>
              </c:strCache>
            </c:strRef>
          </c:tx>
          <c:spPr>
            <a:solidFill>
              <a:schemeClr val="accent6">
                <a:shade val="93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chart'!$F$6:$F$10</c:f>
              <c:numCache>
                <c:formatCode>"₹"\ #,##0</c:formatCode>
                <c:ptCount val="3"/>
                <c:pt idx="0">
                  <c:v>40625</c:v>
                </c:pt>
                <c:pt idx="1">
                  <c:v>68471</c:v>
                </c:pt>
                <c:pt idx="2">
                  <c:v>16788</c:v>
                </c:pt>
              </c:numCache>
            </c:numRef>
          </c:val>
          <c:extLst>
            <c:ext xmlns:c16="http://schemas.microsoft.com/office/drawing/2014/chart" uri="{C3380CC4-5D6E-409C-BE32-E72D297353CC}">
              <c16:uniqueId val="{0000000D-4C33-495C-9E18-42CC62DBE251}"/>
            </c:ext>
          </c:extLst>
        </c:ser>
        <c:ser>
          <c:idx val="5"/>
          <c:order val="5"/>
          <c:tx>
            <c:strRef>
              <c:f>'line chart'!$G$3:$G$5</c:f>
              <c:strCache>
                <c:ptCount val="1"/>
                <c:pt idx="0">
                  <c:v>Difference - 1</c:v>
                </c:pt>
              </c:strCache>
            </c:strRef>
          </c:tx>
          <c:spPr>
            <a:solidFill>
              <a:schemeClr val="accent6">
                <a:tint val="94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chart'!$G$6:$G$10</c:f>
              <c:numCache>
                <c:formatCode>0%</c:formatCode>
                <c:ptCount val="3"/>
                <c:pt idx="0">
                  <c:v>#N/A</c:v>
                </c:pt>
                <c:pt idx="1">
                  <c:v>#N/A</c:v>
                </c:pt>
                <c:pt idx="2">
                  <c:v>#N/A</c:v>
                </c:pt>
              </c:numCache>
            </c:numRef>
          </c:val>
          <c:extLst>
            <c:ext xmlns:c16="http://schemas.microsoft.com/office/drawing/2014/chart" uri="{C3380CC4-5D6E-409C-BE32-E72D297353CC}">
              <c16:uniqueId val="{0000000E-4C33-495C-9E18-42CC62DBE251}"/>
            </c:ext>
          </c:extLst>
        </c:ser>
        <c:ser>
          <c:idx val="6"/>
          <c:order val="6"/>
          <c:tx>
            <c:strRef>
              <c:f>'line chart'!$H$3:$H$5</c:f>
              <c:strCache>
                <c:ptCount val="1"/>
                <c:pt idx="0">
                  <c:v>Difference - 2</c:v>
                </c:pt>
              </c:strCache>
            </c:strRef>
          </c:tx>
          <c:spPr>
            <a:solidFill>
              <a:schemeClr val="accent6">
                <a:tint val="81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chart'!$H$6:$H$10</c:f>
              <c:numCache>
                <c:formatCode>0%</c:formatCode>
                <c:ptCount val="3"/>
                <c:pt idx="0">
                  <c:v>#N/A</c:v>
                </c:pt>
                <c:pt idx="1">
                  <c:v>#N/A</c:v>
                </c:pt>
                <c:pt idx="2">
                  <c:v>#N/A</c:v>
                </c:pt>
              </c:numCache>
            </c:numRef>
          </c:val>
          <c:extLst>
            <c:ext xmlns:c16="http://schemas.microsoft.com/office/drawing/2014/chart" uri="{C3380CC4-5D6E-409C-BE32-E72D297353CC}">
              <c16:uniqueId val="{00000015-4C33-495C-9E18-42CC62DBE251}"/>
            </c:ext>
          </c:extLst>
        </c:ser>
        <c:ser>
          <c:idx val="7"/>
          <c:order val="7"/>
          <c:tx>
            <c:strRef>
              <c:f>'line chart'!$I$3:$I$5</c:f>
              <c:strCache>
                <c:ptCount val="1"/>
                <c:pt idx="0">
                  <c:v>Difference - 3</c:v>
                </c:pt>
              </c:strCache>
            </c:strRef>
          </c:tx>
          <c:spPr>
            <a:solidFill>
              <a:schemeClr val="accent6">
                <a:tint val="69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chart'!$I$6:$I$10</c:f>
              <c:numCache>
                <c:formatCode>0%</c:formatCode>
                <c:ptCount val="3"/>
                <c:pt idx="0">
                  <c:v>#N/A</c:v>
                </c:pt>
                <c:pt idx="1">
                  <c:v>#N/A</c:v>
                </c:pt>
                <c:pt idx="2">
                  <c:v>#N/A</c:v>
                </c:pt>
              </c:numCache>
            </c:numRef>
          </c:val>
          <c:extLst>
            <c:ext xmlns:c16="http://schemas.microsoft.com/office/drawing/2014/chart" uri="{C3380CC4-5D6E-409C-BE32-E72D297353CC}">
              <c16:uniqueId val="{00000016-4C33-495C-9E18-42CC62DBE251}"/>
            </c:ext>
          </c:extLst>
        </c:ser>
        <c:ser>
          <c:idx val="8"/>
          <c:order val="8"/>
          <c:tx>
            <c:strRef>
              <c:f>'line chart'!$J$3:$J$5</c:f>
              <c:strCache>
                <c:ptCount val="1"/>
                <c:pt idx="0">
                  <c:v>Difference - 4</c:v>
                </c:pt>
              </c:strCache>
            </c:strRef>
          </c:tx>
          <c:spPr>
            <a:solidFill>
              <a:schemeClr val="accent6">
                <a:tint val="56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chart'!$J$6:$J$10</c:f>
              <c:numCache>
                <c:formatCode>0%</c:formatCode>
                <c:ptCount val="3"/>
                <c:pt idx="0">
                  <c:v>#N/A</c:v>
                </c:pt>
                <c:pt idx="1">
                  <c:v>#N/A</c:v>
                </c:pt>
                <c:pt idx="2">
                  <c:v>#N/A</c:v>
                </c:pt>
              </c:numCache>
            </c:numRef>
          </c:val>
          <c:extLst>
            <c:ext xmlns:c16="http://schemas.microsoft.com/office/drawing/2014/chart" uri="{C3380CC4-5D6E-409C-BE32-E72D297353CC}">
              <c16:uniqueId val="{00000000-7646-47DF-9BDE-30C675C0A3FE}"/>
            </c:ext>
          </c:extLst>
        </c:ser>
        <c:ser>
          <c:idx val="9"/>
          <c:order val="9"/>
          <c:tx>
            <c:strRef>
              <c:f>'line chart'!$K$3:$K$5</c:f>
              <c:strCache>
                <c:ptCount val="1"/>
                <c:pt idx="0">
                  <c:v>Difference - 5</c:v>
                </c:pt>
              </c:strCache>
            </c:strRef>
          </c:tx>
          <c:spPr>
            <a:solidFill>
              <a:schemeClr val="accent6">
                <a:tint val="43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chart'!$K$6:$K$10</c:f>
              <c:numCache>
                <c:formatCode>0%</c:formatCode>
                <c:ptCount val="3"/>
                <c:pt idx="0">
                  <c:v>#N/A</c:v>
                </c:pt>
                <c:pt idx="1">
                  <c:v>#N/A</c:v>
                </c:pt>
                <c:pt idx="2">
                  <c:v>#N/A</c:v>
                </c:pt>
              </c:numCache>
            </c:numRef>
          </c:val>
          <c:extLst>
            <c:ext xmlns:c16="http://schemas.microsoft.com/office/drawing/2014/chart" uri="{C3380CC4-5D6E-409C-BE32-E72D297353CC}">
              <c16:uniqueId val="{00000001-7646-47DF-9BDE-30C675C0A3FE}"/>
            </c:ext>
          </c:extLst>
        </c:ser>
        <c:dLbls>
          <c:showLegendKey val="0"/>
          <c:showVal val="0"/>
          <c:showCatName val="0"/>
          <c:showSerName val="0"/>
          <c:showPercent val="0"/>
          <c:showBubbleSize val="0"/>
        </c:dLbls>
        <c:gapWidth val="150"/>
        <c:axId val="114924480"/>
        <c:axId val="114925440"/>
      </c:barChart>
      <c:catAx>
        <c:axId val="11492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5440"/>
        <c:crosses val="autoZero"/>
        <c:auto val="1"/>
        <c:lblAlgn val="ctr"/>
        <c:lblOffset val="1000"/>
        <c:noMultiLvlLbl val="0"/>
      </c:catAx>
      <c:valAx>
        <c:axId val="114925440"/>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[Ecommerce_Sales_Dashboard_Data.xlsx]line chart!PivotTable3</c:name>
    <c:fmtId val="2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 chart'!$B$3:$B$5</c:f>
              <c:strCache>
                <c:ptCount val="1"/>
                <c:pt idx="0">
                  <c:v>Sum of Revenue - 1</c:v>
                </c:pt>
              </c:strCache>
            </c:strRef>
          </c:tx>
          <c:spPr>
            <a:solidFill>
              <a:schemeClr val="accent6">
                <a:shade val="42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chart'!$B$6:$B$10</c:f>
              <c:numCache>
                <c:formatCode>"₹"\ #,##0</c:formatCode>
                <c:ptCount val="3"/>
                <c:pt idx="0">
                  <c:v>29097</c:v>
                </c:pt>
                <c:pt idx="1">
                  <c:v>17143</c:v>
                </c:pt>
                <c:pt idx="2">
                  <c:v>38330</c:v>
                </c:pt>
              </c:numCache>
            </c:numRef>
          </c:val>
          <c:extLst>
            <c:ext xmlns:c16="http://schemas.microsoft.com/office/drawing/2014/chart" uri="{C3380CC4-5D6E-409C-BE32-E72D297353CC}">
              <c16:uniqueId val="{00000000-26FB-4D2B-B053-33E2F8404E96}"/>
            </c:ext>
          </c:extLst>
        </c:ser>
        <c:ser>
          <c:idx val="1"/>
          <c:order val="1"/>
          <c:tx>
            <c:strRef>
              <c:f>'line chart'!$C$3:$C$5</c:f>
              <c:strCache>
                <c:ptCount val="1"/>
                <c:pt idx="0">
                  <c:v>Sum of Revenue - 2</c:v>
                </c:pt>
              </c:strCache>
            </c:strRef>
          </c:tx>
          <c:spPr>
            <a:solidFill>
              <a:schemeClr val="accent6">
                <a:shade val="55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chart'!$C$6:$C$10</c:f>
              <c:numCache>
                <c:formatCode>"₹"\ #,##0</c:formatCode>
                <c:ptCount val="3"/>
                <c:pt idx="0">
                  <c:v>36242</c:v>
                </c:pt>
                <c:pt idx="1">
                  <c:v>3166</c:v>
                </c:pt>
                <c:pt idx="2">
                  <c:v>29084</c:v>
                </c:pt>
              </c:numCache>
            </c:numRef>
          </c:val>
          <c:extLst>
            <c:ext xmlns:c16="http://schemas.microsoft.com/office/drawing/2014/chart" uri="{C3380CC4-5D6E-409C-BE32-E72D297353CC}">
              <c16:uniqueId val="{00000001-26FB-4D2B-B053-33E2F8404E96}"/>
            </c:ext>
          </c:extLst>
        </c:ser>
        <c:ser>
          <c:idx val="2"/>
          <c:order val="2"/>
          <c:tx>
            <c:strRef>
              <c:f>'line chart'!$D$3:$D$5</c:f>
              <c:strCache>
                <c:ptCount val="1"/>
                <c:pt idx="0">
                  <c:v>Sum of Revenue - 3</c:v>
                </c:pt>
              </c:strCache>
            </c:strRef>
          </c:tx>
          <c:spPr>
            <a:solidFill>
              <a:schemeClr val="accent6">
                <a:shade val="68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chart'!$D$6:$D$10</c:f>
              <c:numCache>
                <c:formatCode>"₹"\ #,##0</c:formatCode>
                <c:ptCount val="3"/>
                <c:pt idx="0">
                  <c:v>10069</c:v>
                </c:pt>
                <c:pt idx="1">
                  <c:v>34368</c:v>
                </c:pt>
              </c:numCache>
            </c:numRef>
          </c:val>
          <c:extLst>
            <c:ext xmlns:c16="http://schemas.microsoft.com/office/drawing/2014/chart" uri="{C3380CC4-5D6E-409C-BE32-E72D297353CC}">
              <c16:uniqueId val="{0000000B-26FB-4D2B-B053-33E2F8404E96}"/>
            </c:ext>
          </c:extLst>
        </c:ser>
        <c:ser>
          <c:idx val="3"/>
          <c:order val="3"/>
          <c:tx>
            <c:strRef>
              <c:f>'line chart'!$E$3:$E$5</c:f>
              <c:strCache>
                <c:ptCount val="1"/>
                <c:pt idx="0">
                  <c:v>Sum of Revenue - 4</c:v>
                </c:pt>
              </c:strCache>
            </c:strRef>
          </c:tx>
          <c:spPr>
            <a:solidFill>
              <a:schemeClr val="accent6">
                <a:shade val="80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chart'!$E$6:$E$10</c:f>
              <c:numCache>
                <c:formatCode>"₹"\ #,##0</c:formatCode>
                <c:ptCount val="3"/>
                <c:pt idx="0">
                  <c:v>47022</c:v>
                </c:pt>
                <c:pt idx="1">
                  <c:v>15697</c:v>
                </c:pt>
                <c:pt idx="2">
                  <c:v>22836</c:v>
                </c:pt>
              </c:numCache>
            </c:numRef>
          </c:val>
          <c:extLst>
            <c:ext xmlns:c16="http://schemas.microsoft.com/office/drawing/2014/chart" uri="{C3380CC4-5D6E-409C-BE32-E72D297353CC}">
              <c16:uniqueId val="{0000000C-26FB-4D2B-B053-33E2F8404E96}"/>
            </c:ext>
          </c:extLst>
        </c:ser>
        <c:ser>
          <c:idx val="4"/>
          <c:order val="4"/>
          <c:tx>
            <c:strRef>
              <c:f>'line chart'!$F$3:$F$5</c:f>
              <c:strCache>
                <c:ptCount val="1"/>
                <c:pt idx="0">
                  <c:v>Sum of Revenue - 5</c:v>
                </c:pt>
              </c:strCache>
            </c:strRef>
          </c:tx>
          <c:spPr>
            <a:solidFill>
              <a:schemeClr val="accent6">
                <a:shade val="93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chart'!$F$6:$F$10</c:f>
              <c:numCache>
                <c:formatCode>"₹"\ #,##0</c:formatCode>
                <c:ptCount val="3"/>
                <c:pt idx="0">
                  <c:v>40625</c:v>
                </c:pt>
                <c:pt idx="1">
                  <c:v>68471</c:v>
                </c:pt>
                <c:pt idx="2">
                  <c:v>16788</c:v>
                </c:pt>
              </c:numCache>
            </c:numRef>
          </c:val>
          <c:extLst>
            <c:ext xmlns:c16="http://schemas.microsoft.com/office/drawing/2014/chart" uri="{C3380CC4-5D6E-409C-BE32-E72D297353CC}">
              <c16:uniqueId val="{0000000D-26FB-4D2B-B053-33E2F8404E96}"/>
            </c:ext>
          </c:extLst>
        </c:ser>
        <c:ser>
          <c:idx val="5"/>
          <c:order val="5"/>
          <c:tx>
            <c:strRef>
              <c:f>'line chart'!$G$3:$G$5</c:f>
              <c:strCache>
                <c:ptCount val="1"/>
                <c:pt idx="0">
                  <c:v>Difference - 1</c:v>
                </c:pt>
              </c:strCache>
            </c:strRef>
          </c:tx>
          <c:spPr>
            <a:solidFill>
              <a:schemeClr val="accent6">
                <a:tint val="94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chart'!$G$6:$G$10</c:f>
              <c:numCache>
                <c:formatCode>0%</c:formatCode>
                <c:ptCount val="3"/>
                <c:pt idx="0">
                  <c:v>#N/A</c:v>
                </c:pt>
                <c:pt idx="1">
                  <c:v>#N/A</c:v>
                </c:pt>
                <c:pt idx="2">
                  <c:v>#N/A</c:v>
                </c:pt>
              </c:numCache>
            </c:numRef>
          </c:val>
          <c:extLst>
            <c:ext xmlns:c16="http://schemas.microsoft.com/office/drawing/2014/chart" uri="{C3380CC4-5D6E-409C-BE32-E72D297353CC}">
              <c16:uniqueId val="{0000000E-26FB-4D2B-B053-33E2F8404E96}"/>
            </c:ext>
          </c:extLst>
        </c:ser>
        <c:ser>
          <c:idx val="6"/>
          <c:order val="6"/>
          <c:tx>
            <c:strRef>
              <c:f>'line chart'!$H$3:$H$5</c:f>
              <c:strCache>
                <c:ptCount val="1"/>
                <c:pt idx="0">
                  <c:v>Difference - 2</c:v>
                </c:pt>
              </c:strCache>
            </c:strRef>
          </c:tx>
          <c:spPr>
            <a:solidFill>
              <a:schemeClr val="accent6">
                <a:tint val="81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chart'!$H$6:$H$10</c:f>
              <c:numCache>
                <c:formatCode>0%</c:formatCode>
                <c:ptCount val="3"/>
                <c:pt idx="0">
                  <c:v>#N/A</c:v>
                </c:pt>
                <c:pt idx="1">
                  <c:v>#N/A</c:v>
                </c:pt>
                <c:pt idx="2">
                  <c:v>#N/A</c:v>
                </c:pt>
              </c:numCache>
            </c:numRef>
          </c:val>
          <c:extLst>
            <c:ext xmlns:c16="http://schemas.microsoft.com/office/drawing/2014/chart" uri="{C3380CC4-5D6E-409C-BE32-E72D297353CC}">
              <c16:uniqueId val="{00000015-26FB-4D2B-B053-33E2F8404E96}"/>
            </c:ext>
          </c:extLst>
        </c:ser>
        <c:ser>
          <c:idx val="7"/>
          <c:order val="7"/>
          <c:tx>
            <c:strRef>
              <c:f>'line chart'!$I$3:$I$5</c:f>
              <c:strCache>
                <c:ptCount val="1"/>
                <c:pt idx="0">
                  <c:v>Difference - 3</c:v>
                </c:pt>
              </c:strCache>
            </c:strRef>
          </c:tx>
          <c:spPr>
            <a:solidFill>
              <a:schemeClr val="accent6">
                <a:tint val="69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chart'!$I$6:$I$10</c:f>
              <c:numCache>
                <c:formatCode>0%</c:formatCode>
                <c:ptCount val="3"/>
                <c:pt idx="0">
                  <c:v>#N/A</c:v>
                </c:pt>
                <c:pt idx="1">
                  <c:v>#N/A</c:v>
                </c:pt>
                <c:pt idx="2">
                  <c:v>#N/A</c:v>
                </c:pt>
              </c:numCache>
            </c:numRef>
          </c:val>
          <c:extLst>
            <c:ext xmlns:c16="http://schemas.microsoft.com/office/drawing/2014/chart" uri="{C3380CC4-5D6E-409C-BE32-E72D297353CC}">
              <c16:uniqueId val="{00000016-26FB-4D2B-B053-33E2F8404E96}"/>
            </c:ext>
          </c:extLst>
        </c:ser>
        <c:ser>
          <c:idx val="8"/>
          <c:order val="8"/>
          <c:tx>
            <c:strRef>
              <c:f>'line chart'!$J$3:$J$5</c:f>
              <c:strCache>
                <c:ptCount val="1"/>
                <c:pt idx="0">
                  <c:v>Difference - 4</c:v>
                </c:pt>
              </c:strCache>
            </c:strRef>
          </c:tx>
          <c:spPr>
            <a:solidFill>
              <a:schemeClr val="accent6">
                <a:tint val="56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chart'!$J$6:$J$10</c:f>
              <c:numCache>
                <c:formatCode>0%</c:formatCode>
                <c:ptCount val="3"/>
                <c:pt idx="0">
                  <c:v>#N/A</c:v>
                </c:pt>
                <c:pt idx="1">
                  <c:v>#N/A</c:v>
                </c:pt>
                <c:pt idx="2">
                  <c:v>#N/A</c:v>
                </c:pt>
              </c:numCache>
            </c:numRef>
          </c:val>
          <c:extLst>
            <c:ext xmlns:c16="http://schemas.microsoft.com/office/drawing/2014/chart" uri="{C3380CC4-5D6E-409C-BE32-E72D297353CC}">
              <c16:uniqueId val="{00000000-D367-4E46-835A-0666BBA80646}"/>
            </c:ext>
          </c:extLst>
        </c:ser>
        <c:ser>
          <c:idx val="9"/>
          <c:order val="9"/>
          <c:tx>
            <c:strRef>
              <c:f>'line chart'!$K$3:$K$5</c:f>
              <c:strCache>
                <c:ptCount val="1"/>
                <c:pt idx="0">
                  <c:v>Difference - 5</c:v>
                </c:pt>
              </c:strCache>
            </c:strRef>
          </c:tx>
          <c:spPr>
            <a:solidFill>
              <a:schemeClr val="accent6">
                <a:tint val="43000"/>
              </a:schemeClr>
            </a:solidFill>
            <a:ln>
              <a:noFill/>
            </a:ln>
            <a:effectLst/>
          </c:spPr>
          <c:invertIfNegative val="0"/>
          <c:cat>
            <c:multiLvlStrRef>
              <c:f>'line chart'!$A$6:$A$10</c:f>
              <c:multiLvlStrCache>
                <c:ptCount val="3"/>
                <c:lvl>
                  <c:pt idx="0">
                    <c:v>Asia</c:v>
                  </c:pt>
                  <c:pt idx="1">
                    <c:v>Europe</c:v>
                  </c:pt>
                  <c:pt idx="2">
                    <c:v>USA</c:v>
                  </c:pt>
                </c:lvl>
                <c:lvl>
                  <c:pt idx="0">
                    <c:v>Aug-2024</c:v>
                  </c:pt>
                </c:lvl>
              </c:multiLvlStrCache>
            </c:multiLvlStrRef>
          </c:cat>
          <c:val>
            <c:numRef>
              <c:f>'line chart'!$K$6:$K$10</c:f>
              <c:numCache>
                <c:formatCode>0%</c:formatCode>
                <c:ptCount val="3"/>
                <c:pt idx="0">
                  <c:v>#N/A</c:v>
                </c:pt>
                <c:pt idx="1">
                  <c:v>#N/A</c:v>
                </c:pt>
                <c:pt idx="2">
                  <c:v>#N/A</c:v>
                </c:pt>
              </c:numCache>
            </c:numRef>
          </c:val>
          <c:extLst>
            <c:ext xmlns:c16="http://schemas.microsoft.com/office/drawing/2014/chart" uri="{C3380CC4-5D6E-409C-BE32-E72D297353CC}">
              <c16:uniqueId val="{00000001-D367-4E46-835A-0666BBA80646}"/>
            </c:ext>
          </c:extLst>
        </c:ser>
        <c:dLbls>
          <c:showLegendKey val="0"/>
          <c:showVal val="0"/>
          <c:showCatName val="0"/>
          <c:showSerName val="0"/>
          <c:showPercent val="0"/>
          <c:showBubbleSize val="0"/>
        </c:dLbls>
        <c:gapWidth val="150"/>
        <c:axId val="446136256"/>
        <c:axId val="446133376"/>
      </c:barChart>
      <c:catAx>
        <c:axId val="4461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33376"/>
        <c:crosses val="autoZero"/>
        <c:auto val="1"/>
        <c:lblAlgn val="ctr"/>
        <c:lblOffset val="100"/>
        <c:noMultiLvlLbl val="0"/>
      </c:catAx>
      <c:valAx>
        <c:axId val="446133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Red]&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3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[Ecommerce_Sales_Dashboard_Data.xlsx]DOUGHNUT CHART!PivotTable2</c:name>
    <c:fmtId val="3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Doughnut Chart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'DOUGHNUT CHART'!$B$3</c:f>
              <c:strCache>
                <c:ptCount val="1"/>
                <c:pt idx="0">
                  <c:v>Sum of Profit</c:v>
                </c:pt>
              </c:strCache>
            </c:strRef>
          </c:tx>
          <c:dPt>
            <c:idx val="0"/>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20A-46BA-8284-EB9792F96D66}"/>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8A2-4EE4-B151-9286570CC7E5}"/>
              </c:ext>
            </c:extLst>
          </c:dPt>
          <c:dPt>
            <c:idx val="2"/>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8A2-4EE4-B151-9286570CC7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Clothing</c:v>
                </c:pt>
                <c:pt idx="1">
                  <c:v>Electronics</c:v>
                </c:pt>
                <c:pt idx="2">
                  <c:v>Furniture</c:v>
                </c:pt>
              </c:strCache>
            </c:strRef>
          </c:cat>
          <c:val>
            <c:numRef>
              <c:f>'DOUGHNUT CHART'!$B$4:$B$7</c:f>
              <c:numCache>
                <c:formatCode>General</c:formatCode>
                <c:ptCount val="3"/>
                <c:pt idx="0">
                  <c:v>27777</c:v>
                </c:pt>
                <c:pt idx="1">
                  <c:v>27405</c:v>
                </c:pt>
                <c:pt idx="2">
                  <c:v>34219</c:v>
                </c:pt>
              </c:numCache>
            </c:numRef>
          </c:val>
          <c:extLst>
            <c:ext xmlns:c16="http://schemas.microsoft.com/office/drawing/2014/chart" uri="{C3380CC4-5D6E-409C-BE32-E72D297353CC}">
              <c16:uniqueId val="{00000002-820A-46BA-8284-EB9792F96D66}"/>
            </c:ext>
          </c:extLst>
        </c:ser>
        <c:ser>
          <c:idx val="1"/>
          <c:order val="1"/>
          <c:tx>
            <c:strRef>
              <c:f>'DOUGHNUT CHART'!$C$3</c:f>
              <c:strCache>
                <c:ptCount val="1"/>
                <c:pt idx="0">
                  <c:v>Average of Profit Margin %</c:v>
                </c:pt>
              </c:strCache>
            </c:strRef>
          </c:tx>
          <c:dPt>
            <c:idx val="0"/>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820A-46BA-8284-EB9792F96D66}"/>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8A2-4EE4-B151-9286570CC7E5}"/>
              </c:ext>
            </c:extLst>
          </c:dPt>
          <c:dPt>
            <c:idx val="2"/>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8A2-4EE4-B151-9286570CC7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Clothing</c:v>
                </c:pt>
                <c:pt idx="1">
                  <c:v>Electronics</c:v>
                </c:pt>
                <c:pt idx="2">
                  <c:v>Furniture</c:v>
                </c:pt>
              </c:strCache>
            </c:strRef>
          </c:cat>
          <c:val>
            <c:numRef>
              <c:f>'DOUGHNUT CHART'!$C$4:$C$7</c:f>
              <c:numCache>
                <c:formatCode>0%</c:formatCode>
                <c:ptCount val="3"/>
                <c:pt idx="0">
                  <c:v>0.20969172163450997</c:v>
                </c:pt>
                <c:pt idx="1">
                  <c:v>0.1797020108227613</c:v>
                </c:pt>
                <c:pt idx="2">
                  <c:v>0.23833164114787334</c:v>
                </c:pt>
              </c:numCache>
            </c:numRef>
          </c:val>
          <c:extLst>
            <c:ext xmlns:c16="http://schemas.microsoft.com/office/drawing/2014/chart" uri="{C3380CC4-5D6E-409C-BE32-E72D297353CC}">
              <c16:uniqueId val="{00000005-820A-46BA-8284-EB9792F96D66}"/>
            </c:ext>
          </c:extLst>
        </c:ser>
        <c:ser>
          <c:idx val="2"/>
          <c:order val="2"/>
          <c:tx>
            <c:strRef>
              <c:f>'DOUGHNUT CHART'!$D$3</c:f>
              <c:strCache>
                <c:ptCount val="1"/>
                <c:pt idx="0">
                  <c:v>Sum of Profit Margin %</c:v>
                </c:pt>
              </c:strCache>
            </c:strRef>
          </c:tx>
          <c:dPt>
            <c:idx val="0"/>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8A2-4EE4-B151-9286570CC7E5}"/>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78A2-4EE4-B151-9286570CC7E5}"/>
              </c:ext>
            </c:extLst>
          </c:dPt>
          <c:dPt>
            <c:idx val="2"/>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78A2-4EE4-B151-9286570CC7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Clothing</c:v>
                </c:pt>
                <c:pt idx="1">
                  <c:v>Electronics</c:v>
                </c:pt>
                <c:pt idx="2">
                  <c:v>Furniture</c:v>
                </c:pt>
              </c:strCache>
            </c:strRef>
          </c:cat>
          <c:val>
            <c:numRef>
              <c:f>'DOUGHNUT CHART'!$D$4:$D$7</c:f>
              <c:numCache>
                <c:formatCode>0%</c:formatCode>
                <c:ptCount val="3"/>
                <c:pt idx="0">
                  <c:v>2.5163006596141195</c:v>
                </c:pt>
                <c:pt idx="1">
                  <c:v>2.3361261406958969</c:v>
                </c:pt>
                <c:pt idx="2">
                  <c:v>2.6216480526266066</c:v>
                </c:pt>
              </c:numCache>
            </c:numRef>
          </c:val>
          <c:extLst>
            <c:ext xmlns:c16="http://schemas.microsoft.com/office/drawing/2014/chart" uri="{C3380CC4-5D6E-409C-BE32-E72D297353CC}">
              <c16:uniqueId val="{00000006-820A-46BA-8284-EB9792F96D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[Ecommerce_Sales_Dashboard_Data.xlsx]Pivot!PivotTable1</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8"/>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8"/>
          <c:spPr>
            <a:solidFill>
              <a:schemeClr val="accent6">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 of Grand Total</c:v>
                </c:pt>
              </c:strCache>
            </c:strRef>
          </c:tx>
          <c:spPr>
            <a:solidFill>
              <a:schemeClr val="accent6">
                <a:shade val="76000"/>
              </a:schemeClr>
            </a:solidFill>
            <a:ln>
              <a:noFill/>
            </a:ln>
            <a:effectLst/>
          </c:spPr>
          <c:invertIfNegative val="0"/>
          <c:cat>
            <c:strRef>
              <c:f>Pivot!$A$4:$A$7</c:f>
              <c:strCache>
                <c:ptCount val="3"/>
                <c:pt idx="0">
                  <c:v>Furniture</c:v>
                </c:pt>
                <c:pt idx="1">
                  <c:v>Electronics</c:v>
                </c:pt>
                <c:pt idx="2">
                  <c:v>Clothing</c:v>
                </c:pt>
              </c:strCache>
            </c:strRef>
          </c:cat>
          <c:val>
            <c:numRef>
              <c:f>Pivot!$B$4:$B$7</c:f>
              <c:numCache>
                <c:formatCode>0.00%</c:formatCode>
                <c:ptCount val="3"/>
                <c:pt idx="0">
                  <c:v>0.35966332304652537</c:v>
                </c:pt>
                <c:pt idx="1">
                  <c:v>0.30579452141889479</c:v>
                </c:pt>
                <c:pt idx="2">
                  <c:v>0.33454215553457983</c:v>
                </c:pt>
              </c:numCache>
            </c:numRef>
          </c:val>
          <c:extLst>
            <c:ext xmlns:c16="http://schemas.microsoft.com/office/drawing/2014/chart" uri="{C3380CC4-5D6E-409C-BE32-E72D297353CC}">
              <c16:uniqueId val="{00000000-6B25-42E3-845F-C443C340EAEE}"/>
            </c:ext>
          </c:extLst>
        </c:ser>
        <c:ser>
          <c:idx val="1"/>
          <c:order val="1"/>
          <c:tx>
            <c:strRef>
              <c:f>Pivot!$C$3</c:f>
              <c:strCache>
                <c:ptCount val="1"/>
                <c:pt idx="0">
                  <c:v>Sum of Revenue</c:v>
                </c:pt>
              </c:strCache>
            </c:strRef>
          </c:tx>
          <c:spPr>
            <a:solidFill>
              <a:schemeClr val="accent6">
                <a:tint val="77000"/>
              </a:schemeClr>
            </a:solidFill>
            <a:ln>
              <a:noFill/>
            </a:ln>
            <a:effectLst/>
          </c:spPr>
          <c:invertIfNegative val="0"/>
          <c:cat>
            <c:strRef>
              <c:f>Pivot!$A$4:$A$7</c:f>
              <c:strCache>
                <c:ptCount val="3"/>
                <c:pt idx="0">
                  <c:v>Furniture</c:v>
                </c:pt>
                <c:pt idx="1">
                  <c:v>Electronics</c:v>
                </c:pt>
                <c:pt idx="2">
                  <c:v>Clothing</c:v>
                </c:pt>
              </c:strCache>
            </c:strRef>
          </c:cat>
          <c:val>
            <c:numRef>
              <c:f>Pivot!$C$4:$C$7</c:f>
              <c:numCache>
                <c:formatCode>General</c:formatCode>
                <c:ptCount val="3"/>
                <c:pt idx="0">
                  <c:v>147080</c:v>
                </c:pt>
                <c:pt idx="1">
                  <c:v>125051</c:v>
                </c:pt>
                <c:pt idx="2">
                  <c:v>136807</c:v>
                </c:pt>
              </c:numCache>
            </c:numRef>
          </c:val>
          <c:extLst>
            <c:ext xmlns:c16="http://schemas.microsoft.com/office/drawing/2014/chart" uri="{C3380CC4-5D6E-409C-BE32-E72D297353CC}">
              <c16:uniqueId val="{00000001-6B25-42E3-845F-C443C340EAEE}"/>
            </c:ext>
          </c:extLst>
        </c:ser>
        <c:dLbls>
          <c:showLegendKey val="0"/>
          <c:showVal val="0"/>
          <c:showCatName val="0"/>
          <c:showSerName val="0"/>
          <c:showPercent val="0"/>
          <c:showBubbleSize val="0"/>
        </c:dLbls>
        <c:gapWidth val="199"/>
        <c:axId val="1770830864"/>
        <c:axId val="1770815024"/>
      </c:barChart>
      <c:catAx>
        <c:axId val="177083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70815024"/>
        <c:crossesAt val="0"/>
        <c:auto val="1"/>
        <c:lblAlgn val="ctr"/>
        <c:lblOffset val="100"/>
        <c:noMultiLvlLbl val="0"/>
      </c:catAx>
      <c:valAx>
        <c:axId val="17708150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83086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563880</xdr:colOff>
      <xdr:row>1</xdr:row>
      <xdr:rowOff>160020</xdr:rowOff>
    </xdr:from>
    <xdr:to>
      <xdr:col>11</xdr:col>
      <xdr:colOff>259080</xdr:colOff>
      <xdr:row>16</xdr:row>
      <xdr:rowOff>160020</xdr:rowOff>
    </xdr:to>
    <xdr:graphicFrame macro="">
      <xdr:nvGraphicFramePr>
        <xdr:cNvPr id="2" name="Chart 1">
          <a:extLst>
            <a:ext uri="{FF2B5EF4-FFF2-40B4-BE49-F238E27FC236}">
              <a16:creationId xmlns:a16="http://schemas.microsoft.com/office/drawing/2014/main" id="{E2F6E50C-EE4C-4095-AD1D-2EC2CBC4D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449580</xdr:colOff>
      <xdr:row>2</xdr:row>
      <xdr:rowOff>15240</xdr:rowOff>
    </xdr:from>
    <xdr:to>
      <xdr:col>5</xdr:col>
      <xdr:colOff>510540</xdr:colOff>
      <xdr:row>9</xdr:row>
      <xdr:rowOff>114300</xdr:rowOff>
    </xdr:to>
    <xdr:sp macro="" textlink="">
      <xdr:nvSpPr>
        <xdr:cNvPr id="2" name="Rectangle: Rounded Corners 1">
          <a:extLst>
            <a:ext uri="{FF2B5EF4-FFF2-40B4-BE49-F238E27FC236}">
              <a16:creationId xmlns:a16="http://schemas.microsoft.com/office/drawing/2014/main" id="{B592E149-7F58-CB6D-C1AD-D70AA78BD6E8}"/>
            </a:ext>
          </a:extLst>
        </xdr:cNvPr>
        <xdr:cNvSpPr/>
      </xdr:nvSpPr>
      <xdr:spPr>
        <a:xfrm>
          <a:off x="449580" y="381000"/>
          <a:ext cx="3108960" cy="1379220"/>
        </a:xfrm>
        <a:prstGeom prst="roundRect">
          <a:avLst/>
        </a:prstGeom>
        <a:solidFill>
          <a:srgbClr val="0575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Times New Roman" panose="02020603050405020304" pitchFamily="18" charset="0"/>
              <a:cs typeface="Times New Roman" panose="02020603050405020304" pitchFamily="18" charset="0"/>
            </a:rPr>
            <a:t>Total</a:t>
          </a:r>
          <a:r>
            <a:rPr lang="en-IN" sz="2400" baseline="0">
              <a:latin typeface="Times New Roman" panose="02020603050405020304" pitchFamily="18" charset="0"/>
              <a:cs typeface="Times New Roman" panose="02020603050405020304" pitchFamily="18" charset="0"/>
            </a:rPr>
            <a:t> Revenue :</a:t>
          </a:r>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6</xdr:col>
      <xdr:colOff>198120</xdr:colOff>
      <xdr:row>2</xdr:row>
      <xdr:rowOff>30480</xdr:rowOff>
    </xdr:from>
    <xdr:to>
      <xdr:col>11</xdr:col>
      <xdr:colOff>243840</xdr:colOff>
      <xdr:row>9</xdr:row>
      <xdr:rowOff>114300</xdr:rowOff>
    </xdr:to>
    <xdr:sp macro="" textlink="">
      <xdr:nvSpPr>
        <xdr:cNvPr id="3" name="Rectangle: Rounded Corners 2">
          <a:extLst>
            <a:ext uri="{FF2B5EF4-FFF2-40B4-BE49-F238E27FC236}">
              <a16:creationId xmlns:a16="http://schemas.microsoft.com/office/drawing/2014/main" id="{6E32DCCA-D7FD-B9E5-B919-12133F018365}"/>
            </a:ext>
          </a:extLst>
        </xdr:cNvPr>
        <xdr:cNvSpPr/>
      </xdr:nvSpPr>
      <xdr:spPr>
        <a:xfrm>
          <a:off x="3881120" y="390313"/>
          <a:ext cx="3114887" cy="1343237"/>
        </a:xfrm>
        <a:prstGeom prst="roundRect">
          <a:avLst/>
        </a:prstGeom>
        <a:solidFill>
          <a:srgbClr val="0575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ln>
                <a:noFill/>
              </a:ln>
              <a:solidFill>
                <a:schemeClr val="lt1"/>
              </a:solidFill>
              <a:effectLst/>
              <a:latin typeface="Times New Roman" panose="02020603050405020304" pitchFamily="18" charset="0"/>
              <a:ea typeface="+mn-ea"/>
              <a:cs typeface="Times New Roman" panose="02020603050405020304" pitchFamily="18" charset="0"/>
            </a:rPr>
            <a:t>Total</a:t>
          </a:r>
          <a:r>
            <a:rPr lang="en-IN" sz="2400" baseline="0">
              <a:ln>
                <a:noFill/>
              </a:ln>
              <a:solidFill>
                <a:schemeClr val="lt1"/>
              </a:solidFill>
              <a:effectLst/>
              <a:latin typeface="Times New Roman" panose="02020603050405020304" pitchFamily="18" charset="0"/>
              <a:ea typeface="+mn-ea"/>
              <a:cs typeface="Times New Roman" panose="02020603050405020304" pitchFamily="18" charset="0"/>
            </a:rPr>
            <a:t> Profit :</a:t>
          </a:r>
          <a:endParaRPr lang="en-IN" sz="2400">
            <a:ln>
              <a:noFill/>
            </a:ln>
            <a:effectLst/>
            <a:latin typeface="Times New Roman" panose="02020603050405020304" pitchFamily="18" charset="0"/>
            <a:cs typeface="Times New Roman" panose="02020603050405020304" pitchFamily="18" charset="0"/>
          </a:endParaRPr>
        </a:p>
        <a:p>
          <a:pPr algn="l"/>
          <a:endParaRPr lang="en-IN" sz="1100">
            <a:ln>
              <a:noFill/>
            </a:ln>
          </a:endParaRPr>
        </a:p>
      </xdr:txBody>
    </xdr:sp>
    <xdr:clientData/>
  </xdr:twoCellAnchor>
  <xdr:twoCellAnchor>
    <xdr:from>
      <xdr:col>11</xdr:col>
      <xdr:colOff>518160</xdr:colOff>
      <xdr:row>2</xdr:row>
      <xdr:rowOff>22860</xdr:rowOff>
    </xdr:from>
    <xdr:to>
      <xdr:col>16</xdr:col>
      <xdr:colOff>579120</xdr:colOff>
      <xdr:row>9</xdr:row>
      <xdr:rowOff>121920</xdr:rowOff>
    </xdr:to>
    <xdr:sp macro="" textlink="">
      <xdr:nvSpPr>
        <xdr:cNvPr id="4" name="Rectangle: Rounded Corners 3">
          <a:extLst>
            <a:ext uri="{FF2B5EF4-FFF2-40B4-BE49-F238E27FC236}">
              <a16:creationId xmlns:a16="http://schemas.microsoft.com/office/drawing/2014/main" id="{927D925C-E636-4449-ADE1-75F591DAC59A}"/>
            </a:ext>
          </a:extLst>
        </xdr:cNvPr>
        <xdr:cNvSpPr/>
      </xdr:nvSpPr>
      <xdr:spPr>
        <a:xfrm>
          <a:off x="7223760" y="388620"/>
          <a:ext cx="3108960" cy="1379220"/>
        </a:xfrm>
        <a:prstGeom prst="roundRect">
          <a:avLst/>
        </a:prstGeom>
        <a:solidFill>
          <a:srgbClr val="05751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aseline="0">
              <a:solidFill>
                <a:schemeClr val="lt1"/>
              </a:solidFill>
              <a:effectLst/>
              <a:latin typeface="Times New Roman" panose="02020603050405020304" pitchFamily="18" charset="0"/>
              <a:ea typeface="+mn-ea"/>
              <a:cs typeface="Times New Roman" panose="02020603050405020304" pitchFamily="18" charset="0"/>
            </a:rPr>
            <a:t>Profit Margin % :</a:t>
          </a:r>
          <a:endParaRPr lang="en-IN" sz="2400">
            <a:effectLst/>
            <a:latin typeface="Times New Roman" panose="02020603050405020304" pitchFamily="18" charset="0"/>
            <a:cs typeface="Times New Roman" panose="02020603050405020304" pitchFamily="18" charset="0"/>
          </a:endParaRPr>
        </a:p>
        <a:p>
          <a:pPr algn="l"/>
          <a:endParaRPr lang="en-IN" sz="1100"/>
        </a:p>
      </xdr:txBody>
    </xdr:sp>
    <xdr:clientData/>
  </xdr:twoCellAnchor>
  <xdr:twoCellAnchor>
    <xdr:from>
      <xdr:col>0</xdr:col>
      <xdr:colOff>441960</xdr:colOff>
      <xdr:row>11</xdr:row>
      <xdr:rowOff>106680</xdr:rowOff>
    </xdr:from>
    <xdr:to>
      <xdr:col>8</xdr:col>
      <xdr:colOff>464820</xdr:colOff>
      <xdr:row>25</xdr:row>
      <xdr:rowOff>60960</xdr:rowOff>
    </xdr:to>
    <xdr:sp macro="" textlink="">
      <xdr:nvSpPr>
        <xdr:cNvPr id="5" name="Rectangle 4">
          <a:extLst>
            <a:ext uri="{FF2B5EF4-FFF2-40B4-BE49-F238E27FC236}">
              <a16:creationId xmlns:a16="http://schemas.microsoft.com/office/drawing/2014/main" id="{D5423D01-F280-A112-DB19-FCC62554ABB9}"/>
            </a:ext>
          </a:extLst>
        </xdr:cNvPr>
        <xdr:cNvSpPr/>
      </xdr:nvSpPr>
      <xdr:spPr>
        <a:xfrm>
          <a:off x="441960" y="2118360"/>
          <a:ext cx="4899660" cy="251460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556260</xdr:colOff>
      <xdr:row>11</xdr:row>
      <xdr:rowOff>106680</xdr:rowOff>
    </xdr:from>
    <xdr:to>
      <xdr:col>16</xdr:col>
      <xdr:colOff>579120</xdr:colOff>
      <xdr:row>25</xdr:row>
      <xdr:rowOff>60960</xdr:rowOff>
    </xdr:to>
    <xdr:sp macro="" textlink="">
      <xdr:nvSpPr>
        <xdr:cNvPr id="6" name="Rectangle 5">
          <a:extLst>
            <a:ext uri="{FF2B5EF4-FFF2-40B4-BE49-F238E27FC236}">
              <a16:creationId xmlns:a16="http://schemas.microsoft.com/office/drawing/2014/main" id="{445C5536-B7F8-4B21-9061-21193DA01125}"/>
            </a:ext>
          </a:extLst>
        </xdr:cNvPr>
        <xdr:cNvSpPr/>
      </xdr:nvSpPr>
      <xdr:spPr>
        <a:xfrm>
          <a:off x="5433060" y="2118360"/>
          <a:ext cx="4899660" cy="251460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17</xdr:col>
      <xdr:colOff>99060</xdr:colOff>
      <xdr:row>2</xdr:row>
      <xdr:rowOff>91440</xdr:rowOff>
    </xdr:from>
    <xdr:to>
      <xdr:col>20</xdr:col>
      <xdr:colOff>99060</xdr:colOff>
      <xdr:row>9</xdr:row>
      <xdr:rowOff>114299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DBABE20-6164-4399-818D-36B3A3C92A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34227" y="451273"/>
              <a:ext cx="1841500" cy="1282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10</xdr:row>
      <xdr:rowOff>30481</xdr:rowOff>
    </xdr:from>
    <xdr:to>
      <xdr:col>20</xdr:col>
      <xdr:colOff>99060</xdr:colOff>
      <xdr:row>22</xdr:row>
      <xdr:rowOff>137583</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798E9FFE-3994-487C-8168-03A1B3C9EDD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34227" y="1829648"/>
              <a:ext cx="1841500" cy="2266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96981</xdr:colOff>
      <xdr:row>23</xdr:row>
      <xdr:rowOff>83243</xdr:rowOff>
    </xdr:from>
    <xdr:to>
      <xdr:col>20</xdr:col>
      <xdr:colOff>96981</xdr:colOff>
      <xdr:row>30</xdr:row>
      <xdr:rowOff>124113</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5DDBC05A-9046-4B3B-837F-68639E9036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32148" y="4221326"/>
              <a:ext cx="1841500" cy="1300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xdr:colOff>
      <xdr:row>11</xdr:row>
      <xdr:rowOff>22859</xdr:rowOff>
    </xdr:from>
    <xdr:to>
      <xdr:col>16</xdr:col>
      <xdr:colOff>592667</xdr:colOff>
      <xdr:row>30</xdr:row>
      <xdr:rowOff>95250</xdr:rowOff>
    </xdr:to>
    <xdr:graphicFrame macro="">
      <xdr:nvGraphicFramePr>
        <xdr:cNvPr id="10" name="Chart 9">
          <a:extLst>
            <a:ext uri="{FF2B5EF4-FFF2-40B4-BE49-F238E27FC236}">
              <a16:creationId xmlns:a16="http://schemas.microsoft.com/office/drawing/2014/main" id="{065386CB-82C1-4E36-BD61-4EE521C5D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441959</xdr:colOff>
      <xdr:row>11</xdr:row>
      <xdr:rowOff>25977</xdr:rowOff>
    </xdr:from>
    <xdr:to>
      <xdr:col>8</xdr:col>
      <xdr:colOff>510885</xdr:colOff>
      <xdr:row>30</xdr:row>
      <xdr:rowOff>84667</xdr:rowOff>
    </xdr:to>
    <xdr:graphicFrame macro="">
      <xdr:nvGraphicFramePr>
        <xdr:cNvPr id="11" name="Chart 10">
          <a:extLst>
            <a:ext uri="{FF2B5EF4-FFF2-40B4-BE49-F238E27FC236}">
              <a16:creationId xmlns:a16="http://schemas.microsoft.com/office/drawing/2014/main" id="{D3F5AF27-F63E-4AE0-BF26-AB1371C75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486834</xdr:colOff>
      <xdr:row>2</xdr:row>
      <xdr:rowOff>74084</xdr:rowOff>
    </xdr:from>
    <xdr:to>
      <xdr:col>28</xdr:col>
      <xdr:colOff>539750</xdr:colOff>
      <xdr:row>17</xdr:row>
      <xdr:rowOff>118534</xdr:rowOff>
    </xdr:to>
    <xdr:graphicFrame macro="">
      <xdr:nvGraphicFramePr>
        <xdr:cNvPr id="12" name="Chart 11">
          <a:extLst>
            <a:ext uri="{FF2B5EF4-FFF2-40B4-BE49-F238E27FC236}">
              <a16:creationId xmlns:a16="http://schemas.microsoft.com/office/drawing/2014/main" id="{0CFFEC1C-96F0-4C22-8A20-53A0D16F0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486833</xdr:colOff>
      <xdr:row>17</xdr:row>
      <xdr:rowOff>169334</xdr:rowOff>
    </xdr:from>
    <xdr:to>
      <xdr:col>28</xdr:col>
      <xdr:colOff>539750</xdr:colOff>
      <xdr:row>33</xdr:row>
      <xdr:rowOff>55034</xdr:rowOff>
    </xdr:to>
    <xdr:graphicFrame macro="">
      <xdr:nvGraphicFramePr>
        <xdr:cNvPr id="13" name="Chart 12">
          <a:extLst>
            <a:ext uri="{FF2B5EF4-FFF2-40B4-BE49-F238E27FC236}">
              <a16:creationId xmlns:a16="http://schemas.microsoft.com/office/drawing/2014/main" id="{BDF89DDE-4803-4252-BA47-230850D41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444500</xdr:colOff>
      <xdr:row>5</xdr:row>
      <xdr:rowOff>52916</xdr:rowOff>
    </xdr:from>
    <xdr:to>
      <xdr:col>4</xdr:col>
      <xdr:colOff>486833</xdr:colOff>
      <xdr:row>9</xdr:row>
      <xdr:rowOff>21167</xdr:rowOff>
    </xdr:to>
    <xdr:sp macro="" textlink="">
      <xdr:nvSpPr>
        <xdr:cNvPr id="14" name="TextBox 13">
          <a:extLst>
            <a:ext uri="{FF2B5EF4-FFF2-40B4-BE49-F238E27FC236}">
              <a16:creationId xmlns:a16="http://schemas.microsoft.com/office/drawing/2014/main" id="{7297BBE9-B5B3-DBC0-DF20-E6BED0369D73}"/>
            </a:ext>
          </a:extLst>
        </xdr:cNvPr>
        <xdr:cNvSpPr txBox="1"/>
      </xdr:nvSpPr>
      <xdr:spPr>
        <a:xfrm>
          <a:off x="1058333" y="952499"/>
          <a:ext cx="1883833" cy="687918"/>
        </a:xfrm>
        <a:prstGeom prst="rect">
          <a:avLst/>
        </a:prstGeom>
        <a:solidFill>
          <a:srgbClr val="05751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ln>
                <a:solidFill>
                  <a:schemeClr val="bg2">
                    <a:lumMod val="25000"/>
                  </a:schemeClr>
                </a:solidFill>
              </a:ln>
              <a:solidFill>
                <a:sysClr val="windowText" lastClr="000000"/>
              </a:solidFill>
            </a:rPr>
            <a:t>924735 </a:t>
          </a:r>
        </a:p>
      </xdr:txBody>
    </xdr:sp>
    <xdr:clientData/>
  </xdr:twoCellAnchor>
  <xdr:twoCellAnchor>
    <xdr:from>
      <xdr:col>7</xdr:col>
      <xdr:colOff>187537</xdr:colOff>
      <xdr:row>5</xdr:row>
      <xdr:rowOff>41064</xdr:rowOff>
    </xdr:from>
    <xdr:to>
      <xdr:col>10</xdr:col>
      <xdr:colOff>229870</xdr:colOff>
      <xdr:row>9</xdr:row>
      <xdr:rowOff>9315</xdr:rowOff>
    </xdr:to>
    <xdr:sp macro="" textlink="">
      <xdr:nvSpPr>
        <xdr:cNvPr id="16" name="TextBox 15">
          <a:extLst>
            <a:ext uri="{FF2B5EF4-FFF2-40B4-BE49-F238E27FC236}">
              <a16:creationId xmlns:a16="http://schemas.microsoft.com/office/drawing/2014/main" id="{30E1B277-3EDE-4DEC-84AA-CD82EEDE71E2}"/>
            </a:ext>
          </a:extLst>
        </xdr:cNvPr>
        <xdr:cNvSpPr txBox="1"/>
      </xdr:nvSpPr>
      <xdr:spPr>
        <a:xfrm>
          <a:off x="4484370" y="940647"/>
          <a:ext cx="1883833" cy="687918"/>
        </a:xfrm>
        <a:prstGeom prst="rect">
          <a:avLst/>
        </a:prstGeom>
        <a:solidFill>
          <a:srgbClr val="05751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ln>
                <a:solidFill>
                  <a:schemeClr val="bg2">
                    <a:lumMod val="25000"/>
                  </a:schemeClr>
                </a:solidFill>
              </a:ln>
              <a:solidFill>
                <a:sysClr val="windowText" lastClr="000000"/>
              </a:solidFill>
            </a:rPr>
            <a:t>122627 </a:t>
          </a:r>
        </a:p>
      </xdr:txBody>
    </xdr:sp>
    <xdr:clientData/>
  </xdr:twoCellAnchor>
  <xdr:twoCellAnchor>
    <xdr:from>
      <xdr:col>12</xdr:col>
      <xdr:colOff>535093</xdr:colOff>
      <xdr:row>5</xdr:row>
      <xdr:rowOff>18204</xdr:rowOff>
    </xdr:from>
    <xdr:to>
      <xdr:col>15</xdr:col>
      <xdr:colOff>577426</xdr:colOff>
      <xdr:row>8</xdr:row>
      <xdr:rowOff>166372</xdr:rowOff>
    </xdr:to>
    <xdr:sp macro="" textlink="">
      <xdr:nvSpPr>
        <xdr:cNvPr id="18" name="TextBox 17">
          <a:extLst>
            <a:ext uri="{FF2B5EF4-FFF2-40B4-BE49-F238E27FC236}">
              <a16:creationId xmlns:a16="http://schemas.microsoft.com/office/drawing/2014/main" id="{5A514C47-651F-482B-815D-341D93A0A8FC}"/>
            </a:ext>
          </a:extLst>
        </xdr:cNvPr>
        <xdr:cNvSpPr txBox="1"/>
      </xdr:nvSpPr>
      <xdr:spPr>
        <a:xfrm>
          <a:off x="7901093" y="917787"/>
          <a:ext cx="1883833" cy="687918"/>
        </a:xfrm>
        <a:prstGeom prst="rect">
          <a:avLst/>
        </a:prstGeom>
        <a:solidFill>
          <a:srgbClr val="057510"/>
        </a:solidFill>
        <a:ln w="9525" cmpd="sng">
          <a:solidFill>
            <a:srgbClr val="05751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ln>
                <a:solidFill>
                  <a:schemeClr val="bg2">
                    <a:lumMod val="25000"/>
                  </a:schemeClr>
                </a:solidFill>
              </a:ln>
              <a:solidFill>
                <a:sysClr val="windowText" lastClr="000000"/>
              </a:solidFill>
            </a:rPr>
            <a:t>1567</a:t>
          </a:r>
          <a:endParaRPr lang="en-IN" sz="3600" baseline="0">
            <a:ln>
              <a:solidFill>
                <a:schemeClr val="bg2">
                  <a:lumMod val="25000"/>
                </a:schemeClr>
              </a:solidFill>
            </a:ln>
            <a:solidFill>
              <a:sysClr val="windowText" lastClr="000000"/>
            </a:solidFill>
          </a:endParaRPr>
        </a:p>
        <a:p>
          <a:pPr algn="ctr"/>
          <a:r>
            <a:rPr lang="en-IN" sz="3600">
              <a:ln>
                <a:solidFill>
                  <a:schemeClr val="bg2">
                    <a:lumMod val="25000"/>
                  </a:schemeClr>
                </a:solidFill>
              </a:ln>
              <a:solidFill>
                <a:sysClr val="windowText" lastClr="000000"/>
              </a:solidFill>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4.845918634259" createdVersion="8" refreshedVersion="8" minRefreshableVersion="3" recordCount="400" xr:uid="{B2075CF5-B931-4B41-8995-0087A5762614}">
  <cacheSource type="worksheet">
    <worksheetSource ref="A1:J401" sheet="Sales_Data"/>
  </cacheSource>
  <cacheFields count="10">
    <cacheField name="Order_ID" numFmtId="0">
      <sharedItems containsSemiMixedTypes="0" containsString="0" containsNumber="1" containsInteger="1" minValue="1001" maxValue="1400"/>
    </cacheField>
    <cacheField name="Order_Date" numFmtId="164">
      <sharedItems containsSemiMixedTypes="0" containsNonDate="0" containsDate="1" containsString="0" minDate="2024-01-01T00:00:00" maxDate="2025-01-01T00:00:00"/>
    </cacheField>
    <cacheField name="Region" numFmtId="0">
      <sharedItems count="3">
        <s v="Asia"/>
        <s v="Europe"/>
        <s v="USA"/>
      </sharedItems>
    </cacheField>
    <cacheField name="Category" numFmtId="0">
      <sharedItems count="3">
        <s v="Furniture"/>
        <s v="Electronics"/>
        <s v="Clothing"/>
      </sharedItems>
    </cacheField>
    <cacheField name="Product" numFmtId="0">
      <sharedItems/>
    </cacheField>
    <cacheField name="Quantity" numFmtId="0">
      <sharedItems containsSemiMixedTypes="0" containsString="0" containsNumber="1" containsInteger="1" minValue="1" maxValue="5" count="5">
        <n v="4"/>
        <n v="5"/>
        <n v="2"/>
        <n v="3"/>
        <n v="1"/>
      </sharedItems>
    </cacheField>
    <cacheField name="Revenue" numFmtId="0">
      <sharedItems containsSemiMixedTypes="0" containsString="0" containsNumber="1" containsInteger="1" minValue="1082" maxValue="19984"/>
    </cacheField>
    <cacheField name="Profit" numFmtId="0">
      <sharedItems containsSemiMixedTypes="0" containsString="0" containsNumber="1" containsInteger="1" minValue="-500" maxValue="7427"/>
    </cacheField>
    <cacheField name="Month" numFmtId="0">
      <sharedItems count="12">
        <s v="Apr-2024"/>
        <s v="Dec-2024"/>
        <s v="Jan-2024"/>
        <s v="Oct-2024"/>
        <s v="Sep-2024"/>
        <s v="Jul-2024"/>
        <s v="Nov-2024"/>
        <s v="Feb-2024"/>
        <s v="May-2024"/>
        <s v="Mar-2024"/>
        <s v="Jun-2024"/>
        <s v="Aug-2024"/>
      </sharedItems>
    </cacheField>
    <cacheField name="Profit Margin %" numFmtId="9">
      <sharedItems containsSemiMixedTypes="0" containsString="0" containsNumber="1" minValue="-0.35812274368231045" maxValue="0.39963475878861665"/>
    </cacheField>
  </cacheFields>
  <extLst>
    <ext xmlns:x14="http://schemas.microsoft.com/office/spreadsheetml/2009/9/main" uri="{725AE2AE-9491-48be-B2B4-4EB974FC3084}">
      <x14:pivotCacheDefinition pivotCacheId="225394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n v="1001"/>
    <d v="2024-04-27T00:00:00"/>
    <x v="0"/>
    <x v="0"/>
    <s v="Table"/>
    <x v="0"/>
    <n v="1673"/>
    <n v="-424"/>
    <x v="0"/>
    <n v="-0.25343693962940828"/>
  </r>
  <r>
    <n v="1002"/>
    <d v="2024-12-03T00:00:00"/>
    <x v="0"/>
    <x v="1"/>
    <s v="Mobile"/>
    <x v="1"/>
    <n v="3254"/>
    <n v="572"/>
    <x v="1"/>
    <n v="0.17578365089121081"/>
  </r>
  <r>
    <n v="1003"/>
    <d v="2024-01-02T00:00:00"/>
    <x v="1"/>
    <x v="0"/>
    <s v="Sofa"/>
    <x v="0"/>
    <n v="9695"/>
    <n v="367"/>
    <x v="2"/>
    <n v="3.785456420835482E-2"/>
  </r>
  <r>
    <n v="1004"/>
    <d v="2024-10-02T00:00:00"/>
    <x v="1"/>
    <x v="2"/>
    <s v="Jacket"/>
    <x v="2"/>
    <n v="18391"/>
    <n v="-205"/>
    <x v="3"/>
    <n v="-1.1146756565711489E-2"/>
  </r>
  <r>
    <n v="1005"/>
    <d v="2024-10-25T00:00:00"/>
    <x v="1"/>
    <x v="1"/>
    <s v="Laptop"/>
    <x v="1"/>
    <n v="8968"/>
    <n v="3176"/>
    <x v="3"/>
    <n v="0.35414808206958071"/>
  </r>
  <r>
    <n v="1006"/>
    <d v="2024-09-18T00:00:00"/>
    <x v="2"/>
    <x v="0"/>
    <s v="Chair"/>
    <x v="3"/>
    <n v="4458"/>
    <n v="207"/>
    <x v="4"/>
    <n v="4.6433378196500674E-2"/>
  </r>
  <r>
    <n v="1007"/>
    <d v="2024-01-01T00:00:00"/>
    <x v="0"/>
    <x v="2"/>
    <s v="Jacket"/>
    <x v="3"/>
    <n v="13020"/>
    <n v="4858"/>
    <x v="2"/>
    <n v="0.37311827956989246"/>
  </r>
  <r>
    <n v="1008"/>
    <d v="2024-10-18T00:00:00"/>
    <x v="0"/>
    <x v="2"/>
    <s v="Jeans"/>
    <x v="1"/>
    <n v="2247"/>
    <n v="63"/>
    <x v="3"/>
    <n v="2.8037383177570093E-2"/>
  </r>
  <r>
    <n v="1009"/>
    <d v="2024-12-24T00:00:00"/>
    <x v="0"/>
    <x v="2"/>
    <s v="T-Shirt"/>
    <x v="0"/>
    <n v="8094"/>
    <n v="-105"/>
    <x v="1"/>
    <n v="-1.2972572275759823E-2"/>
  </r>
  <r>
    <n v="1010"/>
    <d v="2024-10-02T00:00:00"/>
    <x v="2"/>
    <x v="1"/>
    <s v="Headphones"/>
    <x v="2"/>
    <n v="14783"/>
    <n v="2869"/>
    <x v="3"/>
    <n v="0.19407427450449841"/>
  </r>
  <r>
    <n v="1011"/>
    <d v="2024-07-14T00:00:00"/>
    <x v="1"/>
    <x v="1"/>
    <s v="Headphones"/>
    <x v="2"/>
    <n v="13017"/>
    <n v="3187"/>
    <x v="5"/>
    <n v="0.24483367903510794"/>
  </r>
  <r>
    <n v="1012"/>
    <d v="2024-11-09T00:00:00"/>
    <x v="0"/>
    <x v="1"/>
    <s v="Laptop"/>
    <x v="4"/>
    <n v="6032"/>
    <n v="-442"/>
    <x v="6"/>
    <n v="-7.3275862068965511E-2"/>
  </r>
  <r>
    <n v="1013"/>
    <d v="2024-02-04T00:00:00"/>
    <x v="2"/>
    <x v="0"/>
    <s v="Sofa"/>
    <x v="4"/>
    <n v="4274"/>
    <n v="1112"/>
    <x v="7"/>
    <n v="0.26017781937295276"/>
  </r>
  <r>
    <n v="1014"/>
    <d v="2024-07-08T00:00:00"/>
    <x v="0"/>
    <x v="2"/>
    <s v="T-Shirt"/>
    <x v="3"/>
    <n v="17838"/>
    <n v="14"/>
    <x v="5"/>
    <n v="7.8484134992712188E-4"/>
  </r>
  <r>
    <n v="1015"/>
    <d v="2024-12-19T00:00:00"/>
    <x v="1"/>
    <x v="2"/>
    <s v="Jacket"/>
    <x v="0"/>
    <n v="9169"/>
    <n v="1023"/>
    <x v="1"/>
    <n v="0.11157159995637474"/>
  </r>
  <r>
    <n v="1016"/>
    <d v="2024-07-15T00:00:00"/>
    <x v="0"/>
    <x v="0"/>
    <s v="Sofa"/>
    <x v="0"/>
    <n v="18211"/>
    <n v="7065"/>
    <x v="5"/>
    <n v="0.38795233649991762"/>
  </r>
  <r>
    <n v="1017"/>
    <d v="2024-04-23T00:00:00"/>
    <x v="1"/>
    <x v="1"/>
    <s v="Laptop"/>
    <x v="4"/>
    <n v="18113"/>
    <n v="2129"/>
    <x v="0"/>
    <n v="0.11753988847788881"/>
  </r>
  <r>
    <n v="1018"/>
    <d v="2024-02-06T00:00:00"/>
    <x v="0"/>
    <x v="1"/>
    <s v="Headphones"/>
    <x v="4"/>
    <n v="19339"/>
    <n v="4023"/>
    <x v="7"/>
    <n v="0.20802523398314288"/>
  </r>
  <r>
    <n v="1019"/>
    <d v="2024-05-25T00:00:00"/>
    <x v="1"/>
    <x v="1"/>
    <s v="Headphones"/>
    <x v="3"/>
    <n v="9135"/>
    <n v="2748"/>
    <x v="8"/>
    <n v="0.30082101806239736"/>
  </r>
  <r>
    <n v="1020"/>
    <d v="2024-12-02T00:00:00"/>
    <x v="2"/>
    <x v="1"/>
    <s v="Laptop"/>
    <x v="4"/>
    <n v="10465"/>
    <n v="1012"/>
    <x v="1"/>
    <n v="9.6703296703296707E-2"/>
  </r>
  <r>
    <n v="1021"/>
    <d v="2024-04-24T00:00:00"/>
    <x v="2"/>
    <x v="0"/>
    <s v="Table"/>
    <x v="3"/>
    <n v="13054"/>
    <n v="3295"/>
    <x v="0"/>
    <n v="0.25241305347020071"/>
  </r>
  <r>
    <n v="1022"/>
    <d v="2024-11-02T00:00:00"/>
    <x v="1"/>
    <x v="0"/>
    <s v="Table"/>
    <x v="3"/>
    <n v="4901"/>
    <n v="1131"/>
    <x v="6"/>
    <n v="0.23076923076923078"/>
  </r>
  <r>
    <n v="1023"/>
    <d v="2024-05-29T00:00:00"/>
    <x v="0"/>
    <x v="1"/>
    <s v="Mobile"/>
    <x v="2"/>
    <n v="8575"/>
    <n v="720"/>
    <x v="8"/>
    <n v="8.3965014577259481E-2"/>
  </r>
  <r>
    <n v="1024"/>
    <d v="2024-03-09T00:00:00"/>
    <x v="0"/>
    <x v="1"/>
    <s v="Laptop"/>
    <x v="1"/>
    <n v="12495"/>
    <n v="564"/>
    <x v="9"/>
    <n v="4.5138055222088837E-2"/>
  </r>
  <r>
    <n v="1025"/>
    <d v="2024-01-12T00:00:00"/>
    <x v="0"/>
    <x v="0"/>
    <s v="Sofa"/>
    <x v="3"/>
    <n v="3359"/>
    <n v="472"/>
    <x v="2"/>
    <n v="0.14051801131289074"/>
  </r>
  <r>
    <n v="1026"/>
    <d v="2024-07-27T00:00:00"/>
    <x v="1"/>
    <x v="0"/>
    <s v="Chair"/>
    <x v="2"/>
    <n v="14603"/>
    <n v="1143"/>
    <x v="5"/>
    <n v="7.8271588029856884E-2"/>
  </r>
  <r>
    <n v="1027"/>
    <d v="2024-07-24T00:00:00"/>
    <x v="0"/>
    <x v="0"/>
    <s v="Table"/>
    <x v="3"/>
    <n v="1901"/>
    <n v="137"/>
    <x v="5"/>
    <n v="7.2067332982640717E-2"/>
  </r>
  <r>
    <n v="1028"/>
    <d v="2024-05-25T00:00:00"/>
    <x v="2"/>
    <x v="0"/>
    <s v="Table"/>
    <x v="4"/>
    <n v="4870"/>
    <n v="1330"/>
    <x v="8"/>
    <n v="0.2731006160164271"/>
  </r>
  <r>
    <n v="1029"/>
    <d v="2024-05-17T00:00:00"/>
    <x v="1"/>
    <x v="1"/>
    <s v="Mobile"/>
    <x v="4"/>
    <n v="18324"/>
    <n v="517"/>
    <x v="8"/>
    <n v="2.8214363676053265E-2"/>
  </r>
  <r>
    <n v="1030"/>
    <d v="2024-11-25T00:00:00"/>
    <x v="0"/>
    <x v="1"/>
    <s v="Mobile"/>
    <x v="0"/>
    <n v="8094"/>
    <n v="2771"/>
    <x v="6"/>
    <n v="0.34235235977267109"/>
  </r>
  <r>
    <n v="1031"/>
    <d v="2024-04-24T00:00:00"/>
    <x v="0"/>
    <x v="2"/>
    <s v="Jacket"/>
    <x v="4"/>
    <n v="7153"/>
    <n v="2214"/>
    <x v="0"/>
    <n v="0.30952048091709772"/>
  </r>
  <r>
    <n v="1032"/>
    <d v="2024-02-28T00:00:00"/>
    <x v="0"/>
    <x v="0"/>
    <s v="Chair"/>
    <x v="3"/>
    <n v="4635"/>
    <n v="1801"/>
    <x v="7"/>
    <n v="0.38856526429341964"/>
  </r>
  <r>
    <n v="1033"/>
    <d v="2024-11-23T00:00:00"/>
    <x v="0"/>
    <x v="0"/>
    <s v="Table"/>
    <x v="2"/>
    <n v="9936"/>
    <n v="1340"/>
    <x v="6"/>
    <n v="0.13486312399355876"/>
  </r>
  <r>
    <n v="1034"/>
    <d v="2024-03-31T00:00:00"/>
    <x v="0"/>
    <x v="2"/>
    <s v="T-Shirt"/>
    <x v="3"/>
    <n v="9831"/>
    <n v="964"/>
    <x v="9"/>
    <n v="9.8057166107211879E-2"/>
  </r>
  <r>
    <n v="1035"/>
    <d v="2024-09-14T00:00:00"/>
    <x v="1"/>
    <x v="0"/>
    <s v="Chair"/>
    <x v="4"/>
    <n v="7020"/>
    <n v="2614"/>
    <x v="4"/>
    <n v="0.37236467236467236"/>
  </r>
  <r>
    <n v="1036"/>
    <d v="2024-11-01T00:00:00"/>
    <x v="2"/>
    <x v="1"/>
    <s v="Mobile"/>
    <x v="1"/>
    <n v="12866"/>
    <n v="-269"/>
    <x v="6"/>
    <n v="-2.090781905798228E-2"/>
  </r>
  <r>
    <n v="1037"/>
    <d v="2024-10-08T00:00:00"/>
    <x v="2"/>
    <x v="1"/>
    <s v="Headphones"/>
    <x v="2"/>
    <n v="19028"/>
    <n v="437"/>
    <x v="3"/>
    <n v="2.2966155139793987E-2"/>
  </r>
  <r>
    <n v="1038"/>
    <d v="2024-09-23T00:00:00"/>
    <x v="0"/>
    <x v="0"/>
    <s v="Sofa"/>
    <x v="0"/>
    <n v="4284"/>
    <n v="634"/>
    <x v="4"/>
    <n v="0.14799253034547152"/>
  </r>
  <r>
    <n v="1039"/>
    <d v="2024-09-20T00:00:00"/>
    <x v="1"/>
    <x v="0"/>
    <s v="Sofa"/>
    <x v="4"/>
    <n v="15883"/>
    <n v="5635"/>
    <x v="4"/>
    <n v="0.35478184222124282"/>
  </r>
  <r>
    <n v="1040"/>
    <d v="2024-10-01T00:00:00"/>
    <x v="2"/>
    <x v="0"/>
    <s v="Table"/>
    <x v="4"/>
    <n v="1952"/>
    <n v="-500"/>
    <x v="3"/>
    <n v="-0.25614754098360654"/>
  </r>
  <r>
    <n v="1041"/>
    <d v="2024-02-27T00:00:00"/>
    <x v="1"/>
    <x v="0"/>
    <s v="Sofa"/>
    <x v="2"/>
    <n v="7404"/>
    <n v="953"/>
    <x v="7"/>
    <n v="0.12871420853592652"/>
  </r>
  <r>
    <n v="1042"/>
    <d v="2024-10-22T00:00:00"/>
    <x v="0"/>
    <x v="0"/>
    <s v="Table"/>
    <x v="1"/>
    <n v="16055"/>
    <n v="499"/>
    <x v="3"/>
    <n v="3.1080660230457802E-2"/>
  </r>
  <r>
    <n v="1043"/>
    <d v="2024-05-05T00:00:00"/>
    <x v="1"/>
    <x v="2"/>
    <s v="T-Shirt"/>
    <x v="4"/>
    <n v="1613"/>
    <n v="417"/>
    <x v="8"/>
    <n v="0.25852448853068816"/>
  </r>
  <r>
    <n v="1044"/>
    <d v="2024-07-04T00:00:00"/>
    <x v="0"/>
    <x v="2"/>
    <s v="T-Shirt"/>
    <x v="0"/>
    <n v="10552"/>
    <n v="2601"/>
    <x v="5"/>
    <n v="0.24649355572403336"/>
  </r>
  <r>
    <n v="1045"/>
    <d v="2024-03-06T00:00:00"/>
    <x v="1"/>
    <x v="2"/>
    <s v="T-Shirt"/>
    <x v="1"/>
    <n v="17227"/>
    <n v="5274"/>
    <x v="9"/>
    <n v="0.30614732687061008"/>
  </r>
  <r>
    <n v="1046"/>
    <d v="2024-06-08T00:00:00"/>
    <x v="1"/>
    <x v="0"/>
    <s v="Table"/>
    <x v="3"/>
    <n v="18609"/>
    <n v="900"/>
    <x v="10"/>
    <n v="4.8363694986296953E-2"/>
  </r>
  <r>
    <n v="1047"/>
    <d v="2024-02-13T00:00:00"/>
    <x v="0"/>
    <x v="1"/>
    <s v="Headphones"/>
    <x v="1"/>
    <n v="15649"/>
    <n v="168"/>
    <x v="7"/>
    <n v="1.0735510256246406E-2"/>
  </r>
  <r>
    <n v="1048"/>
    <d v="2024-05-25T00:00:00"/>
    <x v="2"/>
    <x v="0"/>
    <s v="Chair"/>
    <x v="1"/>
    <n v="10683"/>
    <n v="-120"/>
    <x v="8"/>
    <n v="-1.1232799775344004E-2"/>
  </r>
  <r>
    <n v="1049"/>
    <d v="2024-12-01T00:00:00"/>
    <x v="0"/>
    <x v="0"/>
    <s v="Table"/>
    <x v="2"/>
    <n v="13984"/>
    <n v="967"/>
    <x v="1"/>
    <n v="6.9150457665903886E-2"/>
  </r>
  <r>
    <n v="1050"/>
    <d v="2024-05-19T00:00:00"/>
    <x v="2"/>
    <x v="0"/>
    <s v="Sofa"/>
    <x v="1"/>
    <n v="8807"/>
    <n v="309"/>
    <x v="8"/>
    <n v="3.5085727262404907E-2"/>
  </r>
  <r>
    <n v="1051"/>
    <d v="2024-11-29T00:00:00"/>
    <x v="1"/>
    <x v="2"/>
    <s v="Jeans"/>
    <x v="0"/>
    <n v="10277"/>
    <n v="3842"/>
    <x v="6"/>
    <n v="0.3738445071518926"/>
  </r>
  <r>
    <n v="1052"/>
    <d v="2024-10-20T00:00:00"/>
    <x v="2"/>
    <x v="1"/>
    <s v="Laptop"/>
    <x v="2"/>
    <n v="7731"/>
    <n v="182"/>
    <x v="3"/>
    <n v="2.3541585823308758E-2"/>
  </r>
  <r>
    <n v="1053"/>
    <d v="2024-07-04T00:00:00"/>
    <x v="0"/>
    <x v="1"/>
    <s v="Headphones"/>
    <x v="2"/>
    <n v="19100"/>
    <n v="4709"/>
    <x v="5"/>
    <n v="0.24654450261780106"/>
  </r>
  <r>
    <n v="1054"/>
    <d v="2024-01-26T00:00:00"/>
    <x v="2"/>
    <x v="2"/>
    <s v="Jeans"/>
    <x v="4"/>
    <n v="7021"/>
    <n v="94"/>
    <x v="2"/>
    <n v="1.3388406209941604E-2"/>
  </r>
  <r>
    <n v="1055"/>
    <d v="2024-11-29T00:00:00"/>
    <x v="0"/>
    <x v="2"/>
    <s v="Jeans"/>
    <x v="2"/>
    <n v="18099"/>
    <n v="-107"/>
    <x v="6"/>
    <n v="-5.9119288358472841E-3"/>
  </r>
  <r>
    <n v="1056"/>
    <d v="2024-06-22T00:00:00"/>
    <x v="0"/>
    <x v="1"/>
    <s v="Mobile"/>
    <x v="2"/>
    <n v="5054"/>
    <n v="584"/>
    <x v="10"/>
    <n v="0.11555203798971111"/>
  </r>
  <r>
    <n v="1057"/>
    <d v="2024-01-23T00:00:00"/>
    <x v="0"/>
    <x v="2"/>
    <s v="Jacket"/>
    <x v="4"/>
    <n v="1604"/>
    <n v="325"/>
    <x v="2"/>
    <n v="0.20261845386533667"/>
  </r>
  <r>
    <n v="1058"/>
    <d v="2024-03-08T00:00:00"/>
    <x v="2"/>
    <x v="2"/>
    <s v="Jacket"/>
    <x v="4"/>
    <n v="17271"/>
    <n v="2244"/>
    <x v="9"/>
    <n v="0.1299287823519194"/>
  </r>
  <r>
    <n v="1059"/>
    <d v="2024-07-03T00:00:00"/>
    <x v="2"/>
    <x v="1"/>
    <s v="Laptop"/>
    <x v="2"/>
    <n v="13890"/>
    <n v="367"/>
    <x v="5"/>
    <n v="2.6421886249100072E-2"/>
  </r>
  <r>
    <n v="1060"/>
    <d v="2024-06-28T00:00:00"/>
    <x v="1"/>
    <x v="0"/>
    <s v="Chair"/>
    <x v="2"/>
    <n v="12633"/>
    <n v="1881"/>
    <x v="10"/>
    <n v="0.14889574922821183"/>
  </r>
  <r>
    <n v="1061"/>
    <d v="2024-06-27T00:00:00"/>
    <x v="2"/>
    <x v="1"/>
    <s v="Headphones"/>
    <x v="1"/>
    <n v="3293"/>
    <n v="140"/>
    <x v="10"/>
    <n v="4.2514424536896446E-2"/>
  </r>
  <r>
    <n v="1062"/>
    <d v="2024-03-28T00:00:00"/>
    <x v="1"/>
    <x v="1"/>
    <s v="Laptop"/>
    <x v="2"/>
    <n v="10855"/>
    <n v="3520"/>
    <x v="9"/>
    <n v="0.32427452786734223"/>
  </r>
  <r>
    <n v="1063"/>
    <d v="2024-09-07T00:00:00"/>
    <x v="2"/>
    <x v="1"/>
    <s v="Laptop"/>
    <x v="1"/>
    <n v="19904"/>
    <n v="-107"/>
    <x v="4"/>
    <n v="-5.3758038585209004E-3"/>
  </r>
  <r>
    <n v="1064"/>
    <d v="2024-03-06T00:00:00"/>
    <x v="2"/>
    <x v="0"/>
    <s v="Table"/>
    <x v="1"/>
    <n v="10870"/>
    <n v="-498"/>
    <x v="9"/>
    <n v="-4.5814167433302667E-2"/>
  </r>
  <r>
    <n v="1065"/>
    <d v="2024-02-14T00:00:00"/>
    <x v="0"/>
    <x v="2"/>
    <s v="Jacket"/>
    <x v="0"/>
    <n v="18288"/>
    <n v="3524"/>
    <x v="7"/>
    <n v="0.19269466316710412"/>
  </r>
  <r>
    <n v="1066"/>
    <d v="2024-02-03T00:00:00"/>
    <x v="2"/>
    <x v="2"/>
    <s v="Jacket"/>
    <x v="0"/>
    <n v="17806"/>
    <n v="4414"/>
    <x v="7"/>
    <n v="0.24789396832528363"/>
  </r>
  <r>
    <n v="1067"/>
    <d v="2024-03-27T00:00:00"/>
    <x v="0"/>
    <x v="2"/>
    <s v="Jacket"/>
    <x v="3"/>
    <n v="2305"/>
    <n v="762"/>
    <x v="9"/>
    <n v="0.33058568329718002"/>
  </r>
  <r>
    <n v="1068"/>
    <d v="2024-07-14T00:00:00"/>
    <x v="2"/>
    <x v="1"/>
    <s v="Mobile"/>
    <x v="2"/>
    <n v="7688"/>
    <n v="881"/>
    <x v="5"/>
    <n v="0.11459417273673257"/>
  </r>
  <r>
    <n v="1069"/>
    <d v="2024-02-26T00:00:00"/>
    <x v="1"/>
    <x v="1"/>
    <s v="Laptop"/>
    <x v="1"/>
    <n v="9060"/>
    <n v="301"/>
    <x v="7"/>
    <n v="3.3222958057395141E-2"/>
  </r>
  <r>
    <n v="1070"/>
    <d v="2024-10-11T00:00:00"/>
    <x v="1"/>
    <x v="1"/>
    <s v="Headphones"/>
    <x v="0"/>
    <n v="11792"/>
    <n v="-69"/>
    <x v="3"/>
    <n v="-5.8514246947082771E-3"/>
  </r>
  <r>
    <n v="1071"/>
    <d v="2024-01-20T00:00:00"/>
    <x v="2"/>
    <x v="2"/>
    <s v="T-Shirt"/>
    <x v="0"/>
    <n v="7700"/>
    <n v="2257"/>
    <x v="2"/>
    <n v="0.29311688311688311"/>
  </r>
  <r>
    <n v="1072"/>
    <d v="2024-01-05T00:00:00"/>
    <x v="1"/>
    <x v="0"/>
    <s v="Chair"/>
    <x v="4"/>
    <n v="14931"/>
    <n v="3412"/>
    <x v="2"/>
    <n v="0.22851784877101333"/>
  </r>
  <r>
    <n v="1073"/>
    <d v="2024-03-19T00:00:00"/>
    <x v="0"/>
    <x v="2"/>
    <s v="Jeans"/>
    <x v="3"/>
    <n v="13442"/>
    <n v="2071"/>
    <x v="9"/>
    <n v="0.15406933492039876"/>
  </r>
  <r>
    <n v="1074"/>
    <d v="2024-03-22T00:00:00"/>
    <x v="2"/>
    <x v="2"/>
    <s v="Jeans"/>
    <x v="0"/>
    <n v="17294"/>
    <n v="5058"/>
    <x v="9"/>
    <n v="0.29247137735630857"/>
  </r>
  <r>
    <n v="1075"/>
    <d v="2024-02-12T00:00:00"/>
    <x v="2"/>
    <x v="2"/>
    <s v="Jeans"/>
    <x v="0"/>
    <n v="15566"/>
    <n v="2988"/>
    <x v="7"/>
    <n v="0.19195682898625208"/>
  </r>
  <r>
    <n v="1076"/>
    <d v="2024-02-06T00:00:00"/>
    <x v="1"/>
    <x v="2"/>
    <s v="Jeans"/>
    <x v="4"/>
    <n v="9909"/>
    <n v="1018"/>
    <x v="7"/>
    <n v="0.10273488747603189"/>
  </r>
  <r>
    <n v="1077"/>
    <d v="2024-08-20T00:00:00"/>
    <x v="0"/>
    <x v="2"/>
    <s v="Jeans"/>
    <x v="2"/>
    <n v="3209"/>
    <n v="769"/>
    <x v="11"/>
    <n v="0.2396385166718604"/>
  </r>
  <r>
    <n v="1078"/>
    <d v="2024-08-01T00:00:00"/>
    <x v="1"/>
    <x v="2"/>
    <s v="Jeans"/>
    <x v="1"/>
    <n v="13480"/>
    <n v="692"/>
    <x v="11"/>
    <n v="5.1335311572700298E-2"/>
  </r>
  <r>
    <n v="1079"/>
    <d v="2024-03-26T00:00:00"/>
    <x v="0"/>
    <x v="0"/>
    <s v="Table"/>
    <x v="0"/>
    <n v="6776"/>
    <n v="558"/>
    <x v="9"/>
    <n v="8.234946871310507E-2"/>
  </r>
  <r>
    <n v="1080"/>
    <d v="2024-04-16T00:00:00"/>
    <x v="2"/>
    <x v="1"/>
    <s v="Mobile"/>
    <x v="4"/>
    <n v="13054"/>
    <n v="4073"/>
    <x v="0"/>
    <n v="0.31201164394055464"/>
  </r>
  <r>
    <n v="1081"/>
    <d v="2024-12-12T00:00:00"/>
    <x v="0"/>
    <x v="1"/>
    <s v="Laptop"/>
    <x v="0"/>
    <n v="4229"/>
    <n v="982"/>
    <x v="1"/>
    <n v="0.2322061953180421"/>
  </r>
  <r>
    <n v="1082"/>
    <d v="2024-01-23T00:00:00"/>
    <x v="0"/>
    <x v="0"/>
    <s v="Chair"/>
    <x v="0"/>
    <n v="9504"/>
    <n v="71"/>
    <x v="2"/>
    <n v="7.4705387205387204E-3"/>
  </r>
  <r>
    <n v="1083"/>
    <d v="2024-09-07T00:00:00"/>
    <x v="0"/>
    <x v="1"/>
    <s v="Mobile"/>
    <x v="4"/>
    <n v="4203"/>
    <n v="506"/>
    <x v="4"/>
    <n v="0.12039019747799191"/>
  </r>
  <r>
    <n v="1084"/>
    <d v="2024-01-28T00:00:00"/>
    <x v="1"/>
    <x v="0"/>
    <s v="Table"/>
    <x v="1"/>
    <n v="3669"/>
    <n v="144"/>
    <x v="2"/>
    <n v="3.9247751430907606E-2"/>
  </r>
  <r>
    <n v="1085"/>
    <d v="2024-02-12T00:00:00"/>
    <x v="0"/>
    <x v="1"/>
    <s v="Mobile"/>
    <x v="3"/>
    <n v="3149"/>
    <n v="1085"/>
    <x v="7"/>
    <n v="0.34455382661162276"/>
  </r>
  <r>
    <n v="1086"/>
    <d v="2024-07-03T00:00:00"/>
    <x v="1"/>
    <x v="1"/>
    <s v="Mobile"/>
    <x v="0"/>
    <n v="4643"/>
    <n v="-481"/>
    <x v="5"/>
    <n v="-0.10359681240577213"/>
  </r>
  <r>
    <n v="1087"/>
    <d v="2024-11-15T00:00:00"/>
    <x v="0"/>
    <x v="1"/>
    <s v="Headphones"/>
    <x v="0"/>
    <n v="2948"/>
    <n v="623"/>
    <x v="6"/>
    <n v="0.21132971506105835"/>
  </r>
  <r>
    <n v="1088"/>
    <d v="2024-11-25T00:00:00"/>
    <x v="1"/>
    <x v="0"/>
    <s v="Sofa"/>
    <x v="0"/>
    <n v="6057"/>
    <n v="1840"/>
    <x v="6"/>
    <n v="0.30378074954597983"/>
  </r>
  <r>
    <n v="1089"/>
    <d v="2024-10-20T00:00:00"/>
    <x v="0"/>
    <x v="0"/>
    <s v="Table"/>
    <x v="0"/>
    <n v="8133"/>
    <n v="1758"/>
    <x v="3"/>
    <n v="0.21615639985245297"/>
  </r>
  <r>
    <n v="1090"/>
    <d v="2024-04-02T00:00:00"/>
    <x v="0"/>
    <x v="1"/>
    <s v="Headphones"/>
    <x v="4"/>
    <n v="13408"/>
    <n v="3539"/>
    <x v="0"/>
    <n v="0.26394689737470167"/>
  </r>
  <r>
    <n v="1091"/>
    <d v="2024-07-27T00:00:00"/>
    <x v="1"/>
    <x v="0"/>
    <s v="Sofa"/>
    <x v="3"/>
    <n v="15049"/>
    <n v="5005"/>
    <x v="5"/>
    <n v="0.33258023788956076"/>
  </r>
  <r>
    <n v="1092"/>
    <d v="2024-04-12T00:00:00"/>
    <x v="1"/>
    <x v="1"/>
    <s v="Laptop"/>
    <x v="1"/>
    <n v="2022"/>
    <n v="368"/>
    <x v="0"/>
    <n v="0.18199802176063304"/>
  </r>
  <r>
    <n v="1093"/>
    <d v="2024-06-25T00:00:00"/>
    <x v="2"/>
    <x v="1"/>
    <s v="Headphones"/>
    <x v="2"/>
    <n v="7990"/>
    <n v="2048"/>
    <x v="10"/>
    <n v="0.25632040050062577"/>
  </r>
  <r>
    <n v="1094"/>
    <d v="2024-11-11T00:00:00"/>
    <x v="1"/>
    <x v="0"/>
    <s v="Table"/>
    <x v="4"/>
    <n v="15974"/>
    <n v="3681"/>
    <x v="6"/>
    <n v="0.23043696006009765"/>
  </r>
  <r>
    <n v="1095"/>
    <d v="2024-03-22T00:00:00"/>
    <x v="2"/>
    <x v="0"/>
    <s v="Chair"/>
    <x v="4"/>
    <n v="2800"/>
    <n v="-61"/>
    <x v="9"/>
    <n v="-2.1785714285714287E-2"/>
  </r>
  <r>
    <n v="1096"/>
    <d v="2024-12-25T00:00:00"/>
    <x v="1"/>
    <x v="1"/>
    <s v="Headphones"/>
    <x v="4"/>
    <n v="16583"/>
    <n v="2704"/>
    <x v="1"/>
    <n v="0.16305855394078272"/>
  </r>
  <r>
    <n v="1097"/>
    <d v="2024-01-26T00:00:00"/>
    <x v="2"/>
    <x v="1"/>
    <s v="Mobile"/>
    <x v="2"/>
    <n v="2890"/>
    <n v="631"/>
    <x v="2"/>
    <n v="0.21833910034602075"/>
  </r>
  <r>
    <n v="1098"/>
    <d v="2024-11-28T00:00:00"/>
    <x v="1"/>
    <x v="1"/>
    <s v="Mobile"/>
    <x v="3"/>
    <n v="6726"/>
    <n v="368"/>
    <x v="6"/>
    <n v="5.471305382099316E-2"/>
  </r>
  <r>
    <n v="1099"/>
    <d v="2024-05-13T00:00:00"/>
    <x v="1"/>
    <x v="1"/>
    <s v="Laptop"/>
    <x v="2"/>
    <n v="17303"/>
    <n v="296"/>
    <x v="8"/>
    <n v="1.7106860082066695E-2"/>
  </r>
  <r>
    <n v="1100"/>
    <d v="2024-11-27T00:00:00"/>
    <x v="0"/>
    <x v="0"/>
    <s v="Chair"/>
    <x v="3"/>
    <n v="10032"/>
    <n v="2094"/>
    <x v="6"/>
    <n v="0.20873205741626794"/>
  </r>
  <r>
    <n v="1101"/>
    <d v="2024-09-26T00:00:00"/>
    <x v="0"/>
    <x v="2"/>
    <s v="T-Shirt"/>
    <x v="1"/>
    <n v="6446"/>
    <n v="1265"/>
    <x v="4"/>
    <n v="0.19624573378839591"/>
  </r>
  <r>
    <n v="1102"/>
    <d v="2024-12-10T00:00:00"/>
    <x v="2"/>
    <x v="0"/>
    <s v="Table"/>
    <x v="0"/>
    <n v="15562"/>
    <n v="5055"/>
    <x v="1"/>
    <n v="0.32482971340444672"/>
  </r>
  <r>
    <n v="1103"/>
    <d v="2024-01-14T00:00:00"/>
    <x v="2"/>
    <x v="0"/>
    <s v="Sofa"/>
    <x v="4"/>
    <n v="15379"/>
    <n v="183"/>
    <x v="2"/>
    <n v="1.1899343260290006E-2"/>
  </r>
  <r>
    <n v="1104"/>
    <d v="2024-03-20T00:00:00"/>
    <x v="0"/>
    <x v="2"/>
    <s v="Jacket"/>
    <x v="4"/>
    <n v="12065"/>
    <n v="2780"/>
    <x v="9"/>
    <n v="0.2304185661002901"/>
  </r>
  <r>
    <n v="1105"/>
    <d v="2024-11-29T00:00:00"/>
    <x v="2"/>
    <x v="2"/>
    <s v="Jacket"/>
    <x v="1"/>
    <n v="5074"/>
    <n v="1829"/>
    <x v="6"/>
    <n v="0.36046511627906974"/>
  </r>
  <r>
    <n v="1106"/>
    <d v="2024-06-13T00:00:00"/>
    <x v="2"/>
    <x v="1"/>
    <s v="Mobile"/>
    <x v="3"/>
    <n v="4202"/>
    <n v="757"/>
    <x v="10"/>
    <n v="0.18015230842455973"/>
  </r>
  <r>
    <n v="1107"/>
    <d v="2024-06-08T00:00:00"/>
    <x v="2"/>
    <x v="1"/>
    <s v="Laptop"/>
    <x v="1"/>
    <n v="5663"/>
    <n v="54"/>
    <x v="10"/>
    <n v="9.5355818470775205E-3"/>
  </r>
  <r>
    <n v="1108"/>
    <d v="2024-05-21T00:00:00"/>
    <x v="1"/>
    <x v="0"/>
    <s v="Chair"/>
    <x v="2"/>
    <n v="10567"/>
    <n v="3978"/>
    <x v="8"/>
    <n v="0.3764550014195136"/>
  </r>
  <r>
    <n v="1109"/>
    <d v="2024-01-16T00:00:00"/>
    <x v="0"/>
    <x v="2"/>
    <s v="T-Shirt"/>
    <x v="2"/>
    <n v="4136"/>
    <n v="-142"/>
    <x v="2"/>
    <n v="-3.433268858800774E-2"/>
  </r>
  <r>
    <n v="1110"/>
    <d v="2024-09-24T00:00:00"/>
    <x v="0"/>
    <x v="1"/>
    <s v="Headphones"/>
    <x v="2"/>
    <n v="16558"/>
    <n v="2711"/>
    <x v="4"/>
    <n v="0.1637275033216572"/>
  </r>
  <r>
    <n v="1111"/>
    <d v="2024-04-25T00:00:00"/>
    <x v="2"/>
    <x v="1"/>
    <s v="Mobile"/>
    <x v="0"/>
    <n v="11052"/>
    <n v="1643"/>
    <x v="0"/>
    <n v="0.14866087585957294"/>
  </r>
  <r>
    <n v="1112"/>
    <d v="2024-12-06T00:00:00"/>
    <x v="1"/>
    <x v="2"/>
    <s v="T-Shirt"/>
    <x v="2"/>
    <n v="15026"/>
    <n v="4996"/>
    <x v="1"/>
    <n v="0.33249035005989619"/>
  </r>
  <r>
    <n v="1113"/>
    <d v="2024-03-14T00:00:00"/>
    <x v="0"/>
    <x v="2"/>
    <s v="Jacket"/>
    <x v="1"/>
    <n v="8165"/>
    <n v="1926"/>
    <x v="9"/>
    <n v="0.23588487446417636"/>
  </r>
  <r>
    <n v="1114"/>
    <d v="2024-12-03T00:00:00"/>
    <x v="2"/>
    <x v="0"/>
    <s v="Chair"/>
    <x v="0"/>
    <n v="10211"/>
    <n v="2384"/>
    <x v="1"/>
    <n v="0.23347370482812654"/>
  </r>
  <r>
    <n v="1115"/>
    <d v="2024-07-17T00:00:00"/>
    <x v="0"/>
    <x v="2"/>
    <s v="Jeans"/>
    <x v="1"/>
    <n v="6385"/>
    <n v="-130"/>
    <x v="5"/>
    <n v="-2.0360219263899765E-2"/>
  </r>
  <r>
    <n v="1116"/>
    <d v="2024-01-05T00:00:00"/>
    <x v="2"/>
    <x v="0"/>
    <s v="Sofa"/>
    <x v="0"/>
    <n v="17412"/>
    <n v="3303"/>
    <x v="2"/>
    <n v="0.18969676085458304"/>
  </r>
  <r>
    <n v="1117"/>
    <d v="2024-09-05T00:00:00"/>
    <x v="2"/>
    <x v="2"/>
    <s v="T-Shirt"/>
    <x v="3"/>
    <n v="8387"/>
    <n v="3258"/>
    <x v="4"/>
    <n v="0.38845832836532729"/>
  </r>
  <r>
    <n v="1118"/>
    <d v="2024-08-04T00:00:00"/>
    <x v="2"/>
    <x v="2"/>
    <s v="Jeans"/>
    <x v="4"/>
    <n v="13048"/>
    <n v="4918"/>
    <x v="11"/>
    <n v="0.37691600245248313"/>
  </r>
  <r>
    <n v="1119"/>
    <d v="2024-01-13T00:00:00"/>
    <x v="0"/>
    <x v="2"/>
    <s v="T-Shirt"/>
    <x v="3"/>
    <n v="8502"/>
    <n v="1425"/>
    <x v="2"/>
    <n v="0.16760762173606211"/>
  </r>
  <r>
    <n v="1120"/>
    <d v="2024-03-02T00:00:00"/>
    <x v="2"/>
    <x v="0"/>
    <s v="Chair"/>
    <x v="1"/>
    <n v="19253"/>
    <n v="1785"/>
    <x v="9"/>
    <n v="9.2712823975484346E-2"/>
  </r>
  <r>
    <n v="1121"/>
    <d v="2024-09-30T00:00:00"/>
    <x v="1"/>
    <x v="2"/>
    <s v="T-Shirt"/>
    <x v="2"/>
    <n v="19897"/>
    <n v="844"/>
    <x v="4"/>
    <n v="4.2418455043473892E-2"/>
  </r>
  <r>
    <n v="1122"/>
    <d v="2024-10-28T00:00:00"/>
    <x v="2"/>
    <x v="2"/>
    <s v="Jeans"/>
    <x v="2"/>
    <n v="10892"/>
    <n v="-487"/>
    <x v="3"/>
    <n v="-4.4711715020198307E-2"/>
  </r>
  <r>
    <n v="1123"/>
    <d v="2024-07-21T00:00:00"/>
    <x v="1"/>
    <x v="2"/>
    <s v="Jacket"/>
    <x v="4"/>
    <n v="7012"/>
    <n v="337"/>
    <x v="5"/>
    <n v="4.8060467769537936E-2"/>
  </r>
  <r>
    <n v="1124"/>
    <d v="2024-09-28T00:00:00"/>
    <x v="0"/>
    <x v="1"/>
    <s v="Laptop"/>
    <x v="2"/>
    <n v="3046"/>
    <n v="616"/>
    <x v="4"/>
    <n v="0.20223243598161522"/>
  </r>
  <r>
    <n v="1125"/>
    <d v="2024-10-26T00:00:00"/>
    <x v="0"/>
    <x v="2"/>
    <s v="T-Shirt"/>
    <x v="0"/>
    <n v="4444"/>
    <n v="597"/>
    <x v="3"/>
    <n v="0.13433843384338434"/>
  </r>
  <r>
    <n v="1126"/>
    <d v="2024-02-16T00:00:00"/>
    <x v="2"/>
    <x v="1"/>
    <s v="Mobile"/>
    <x v="4"/>
    <n v="7167"/>
    <n v="1315"/>
    <x v="7"/>
    <n v="0.18347983814706292"/>
  </r>
  <r>
    <n v="1127"/>
    <d v="2024-12-26T00:00:00"/>
    <x v="1"/>
    <x v="2"/>
    <s v="Jeans"/>
    <x v="0"/>
    <n v="3884"/>
    <n v="59"/>
    <x v="1"/>
    <n v="1.5190525231719876E-2"/>
  </r>
  <r>
    <n v="1128"/>
    <d v="2024-11-05T00:00:00"/>
    <x v="0"/>
    <x v="0"/>
    <s v="Table"/>
    <x v="3"/>
    <n v="18126"/>
    <n v="6460"/>
    <x v="6"/>
    <n v="0.35639412997903563"/>
  </r>
  <r>
    <n v="1129"/>
    <d v="2024-08-13T00:00:00"/>
    <x v="0"/>
    <x v="2"/>
    <s v="Jeans"/>
    <x v="0"/>
    <n v="12197"/>
    <n v="701"/>
    <x v="11"/>
    <n v="5.7473149135033208E-2"/>
  </r>
  <r>
    <n v="1130"/>
    <d v="2024-08-20T00:00:00"/>
    <x v="0"/>
    <x v="1"/>
    <s v="Laptop"/>
    <x v="1"/>
    <n v="12820"/>
    <n v="1805"/>
    <x v="11"/>
    <n v="0.14079563182527302"/>
  </r>
  <r>
    <n v="1131"/>
    <d v="2024-03-08T00:00:00"/>
    <x v="0"/>
    <x v="2"/>
    <s v="Jacket"/>
    <x v="2"/>
    <n v="4358"/>
    <n v="-222"/>
    <x v="9"/>
    <n v="-5.0940798531436439E-2"/>
  </r>
  <r>
    <n v="1132"/>
    <d v="2024-01-01T00:00:00"/>
    <x v="0"/>
    <x v="2"/>
    <s v="Jeans"/>
    <x v="4"/>
    <n v="8718"/>
    <n v="570"/>
    <x v="2"/>
    <n v="6.5381968341362701E-2"/>
  </r>
  <r>
    <n v="1133"/>
    <d v="2024-12-23T00:00:00"/>
    <x v="0"/>
    <x v="0"/>
    <s v="Chair"/>
    <x v="1"/>
    <n v="4832"/>
    <n v="893"/>
    <x v="1"/>
    <n v="0.18480960264900662"/>
  </r>
  <r>
    <n v="1134"/>
    <d v="2024-06-06T00:00:00"/>
    <x v="1"/>
    <x v="0"/>
    <s v="Chair"/>
    <x v="1"/>
    <n v="13077"/>
    <n v="1047"/>
    <x v="10"/>
    <n v="8.0064234916265201E-2"/>
  </r>
  <r>
    <n v="1135"/>
    <d v="2024-06-16T00:00:00"/>
    <x v="1"/>
    <x v="0"/>
    <s v="Sofa"/>
    <x v="4"/>
    <n v="17247"/>
    <n v="314"/>
    <x v="10"/>
    <n v="1.8206064822867744E-2"/>
  </r>
  <r>
    <n v="1136"/>
    <d v="2024-01-15T00:00:00"/>
    <x v="2"/>
    <x v="0"/>
    <s v="Sofa"/>
    <x v="0"/>
    <n v="2782"/>
    <n v="1109"/>
    <x v="2"/>
    <n v="0.39863407620416969"/>
  </r>
  <r>
    <n v="1137"/>
    <d v="2024-06-20T00:00:00"/>
    <x v="2"/>
    <x v="2"/>
    <s v="Jeans"/>
    <x v="0"/>
    <n v="6977"/>
    <n v="1416"/>
    <x v="10"/>
    <n v="0.20295255840619178"/>
  </r>
  <r>
    <n v="1138"/>
    <d v="2024-06-05T00:00:00"/>
    <x v="2"/>
    <x v="0"/>
    <s v="Table"/>
    <x v="1"/>
    <n v="3782"/>
    <n v="699"/>
    <x v="10"/>
    <n v="0.18482284505552618"/>
  </r>
  <r>
    <n v="1139"/>
    <d v="2024-04-12T00:00:00"/>
    <x v="2"/>
    <x v="1"/>
    <s v="Mobile"/>
    <x v="0"/>
    <n v="1170"/>
    <n v="422"/>
    <x v="0"/>
    <n v="0.36068376068376068"/>
  </r>
  <r>
    <n v="1140"/>
    <d v="2024-10-05T00:00:00"/>
    <x v="2"/>
    <x v="1"/>
    <s v="Laptop"/>
    <x v="0"/>
    <n v="16300"/>
    <n v="4546"/>
    <x v="3"/>
    <n v="0.27889570552147241"/>
  </r>
  <r>
    <n v="1141"/>
    <d v="2024-08-24T00:00:00"/>
    <x v="2"/>
    <x v="0"/>
    <s v="Chair"/>
    <x v="1"/>
    <n v="16788"/>
    <n v="646"/>
    <x v="11"/>
    <n v="3.8479866571360495E-2"/>
  </r>
  <r>
    <n v="1142"/>
    <d v="2024-02-13T00:00:00"/>
    <x v="2"/>
    <x v="0"/>
    <s v="Chair"/>
    <x v="3"/>
    <n v="1361"/>
    <n v="137"/>
    <x v="7"/>
    <n v="0.10066127847171198"/>
  </r>
  <r>
    <n v="1143"/>
    <d v="2024-11-28T00:00:00"/>
    <x v="1"/>
    <x v="1"/>
    <s v="Mobile"/>
    <x v="1"/>
    <n v="3357"/>
    <n v="369"/>
    <x v="6"/>
    <n v="0.10991957104557641"/>
  </r>
  <r>
    <n v="1144"/>
    <d v="2024-09-17T00:00:00"/>
    <x v="0"/>
    <x v="1"/>
    <s v="Headphones"/>
    <x v="4"/>
    <n v="13155"/>
    <n v="4130"/>
    <x v="4"/>
    <n v="0.31394906879513496"/>
  </r>
  <r>
    <n v="1145"/>
    <d v="2024-01-11T00:00:00"/>
    <x v="1"/>
    <x v="1"/>
    <s v="Headphones"/>
    <x v="1"/>
    <n v="14339"/>
    <n v="1598"/>
    <x v="2"/>
    <n v="0.11144431271357835"/>
  </r>
  <r>
    <n v="1146"/>
    <d v="2024-01-03T00:00:00"/>
    <x v="2"/>
    <x v="0"/>
    <s v="Chair"/>
    <x v="3"/>
    <n v="3754"/>
    <n v="74"/>
    <x v="2"/>
    <n v="1.9712306872669155E-2"/>
  </r>
  <r>
    <n v="1147"/>
    <d v="2024-07-09T00:00:00"/>
    <x v="2"/>
    <x v="2"/>
    <s v="T-Shirt"/>
    <x v="0"/>
    <n v="8314"/>
    <n v="2144"/>
    <x v="5"/>
    <n v="0.25787827760404136"/>
  </r>
  <r>
    <n v="1148"/>
    <d v="2024-05-27T00:00:00"/>
    <x v="2"/>
    <x v="0"/>
    <s v="Sofa"/>
    <x v="1"/>
    <n v="14372"/>
    <n v="344"/>
    <x v="8"/>
    <n v="2.3935430002783191E-2"/>
  </r>
  <r>
    <n v="1149"/>
    <d v="2024-08-24T00:00:00"/>
    <x v="0"/>
    <x v="2"/>
    <s v="T-Shirt"/>
    <x v="0"/>
    <n v="15145"/>
    <n v="4771"/>
    <x v="11"/>
    <n v="0.31502145922746783"/>
  </r>
  <r>
    <n v="1150"/>
    <d v="2024-06-17T00:00:00"/>
    <x v="1"/>
    <x v="2"/>
    <s v="Jeans"/>
    <x v="2"/>
    <n v="11843"/>
    <n v="1158"/>
    <x v="10"/>
    <n v="9.7779278898927638E-2"/>
  </r>
  <r>
    <n v="1151"/>
    <d v="2024-10-05T00:00:00"/>
    <x v="1"/>
    <x v="0"/>
    <s v="Sofa"/>
    <x v="4"/>
    <n v="7154"/>
    <n v="2279"/>
    <x v="3"/>
    <n v="0.3185630416550182"/>
  </r>
  <r>
    <n v="1152"/>
    <d v="2024-10-10T00:00:00"/>
    <x v="2"/>
    <x v="1"/>
    <s v="Headphones"/>
    <x v="4"/>
    <n v="13746"/>
    <n v="2780"/>
    <x v="3"/>
    <n v="0.20224065182598575"/>
  </r>
  <r>
    <n v="1153"/>
    <d v="2024-05-06T00:00:00"/>
    <x v="2"/>
    <x v="2"/>
    <s v="Jeans"/>
    <x v="2"/>
    <n v="16166"/>
    <n v="-142"/>
    <x v="8"/>
    <n v="-8.7838673759742664E-3"/>
  </r>
  <r>
    <n v="1154"/>
    <d v="2024-04-14T00:00:00"/>
    <x v="1"/>
    <x v="2"/>
    <s v="T-Shirt"/>
    <x v="1"/>
    <n v="18880"/>
    <n v="4450"/>
    <x v="0"/>
    <n v="0.23569915254237289"/>
  </r>
  <r>
    <n v="1155"/>
    <d v="2024-04-14T00:00:00"/>
    <x v="1"/>
    <x v="2"/>
    <s v="Jeans"/>
    <x v="1"/>
    <n v="17064"/>
    <n v="-359"/>
    <x v="0"/>
    <n v="-2.1038443506797937E-2"/>
  </r>
  <r>
    <n v="1156"/>
    <d v="2024-05-27T00:00:00"/>
    <x v="0"/>
    <x v="2"/>
    <s v="T-Shirt"/>
    <x v="3"/>
    <n v="4905"/>
    <n v="354"/>
    <x v="8"/>
    <n v="7.2171253822629969E-2"/>
  </r>
  <r>
    <n v="1157"/>
    <d v="2024-10-19T00:00:00"/>
    <x v="0"/>
    <x v="2"/>
    <s v="Jeans"/>
    <x v="1"/>
    <n v="17917"/>
    <n v="15"/>
    <x v="3"/>
    <n v="8.3719372662834177E-4"/>
  </r>
  <r>
    <n v="1158"/>
    <d v="2024-06-20T00:00:00"/>
    <x v="1"/>
    <x v="1"/>
    <s v="Laptop"/>
    <x v="1"/>
    <n v="19561"/>
    <n v="6313"/>
    <x v="10"/>
    <n v="0.32273401155360154"/>
  </r>
  <r>
    <n v="1159"/>
    <d v="2024-09-25T00:00:00"/>
    <x v="2"/>
    <x v="2"/>
    <s v="T-Shirt"/>
    <x v="2"/>
    <n v="10575"/>
    <n v="668"/>
    <x v="4"/>
    <n v="6.3167848699763593E-2"/>
  </r>
  <r>
    <n v="1160"/>
    <d v="2024-10-28T00:00:00"/>
    <x v="2"/>
    <x v="2"/>
    <s v="Jacket"/>
    <x v="0"/>
    <n v="18551"/>
    <n v="3315"/>
    <x v="3"/>
    <n v="0.17869656622284513"/>
  </r>
  <r>
    <n v="1161"/>
    <d v="2024-01-22T00:00:00"/>
    <x v="1"/>
    <x v="2"/>
    <s v="T-Shirt"/>
    <x v="1"/>
    <n v="13403"/>
    <n v="3516"/>
    <x v="2"/>
    <n v="0.26232932925464447"/>
  </r>
  <r>
    <n v="1162"/>
    <d v="2024-08-27T00:00:00"/>
    <x v="0"/>
    <x v="0"/>
    <s v="Sofa"/>
    <x v="2"/>
    <n v="13132"/>
    <n v="3842"/>
    <x v="11"/>
    <n v="0.29256777337800793"/>
  </r>
  <r>
    <n v="1163"/>
    <d v="2024-10-17T00:00:00"/>
    <x v="0"/>
    <x v="2"/>
    <s v="Jeans"/>
    <x v="4"/>
    <n v="8473"/>
    <n v="591"/>
    <x v="3"/>
    <n v="6.975097368110468E-2"/>
  </r>
  <r>
    <n v="1164"/>
    <d v="2024-06-19T00:00:00"/>
    <x v="1"/>
    <x v="2"/>
    <s v="Jeans"/>
    <x v="4"/>
    <n v="11509"/>
    <n v="1943"/>
    <x v="10"/>
    <n v="0.16882439829698498"/>
  </r>
  <r>
    <n v="1165"/>
    <d v="2024-08-21T00:00:00"/>
    <x v="1"/>
    <x v="1"/>
    <s v="Headphones"/>
    <x v="0"/>
    <n v="15697"/>
    <n v="4256"/>
    <x v="11"/>
    <n v="0.2711346117092438"/>
  </r>
  <r>
    <n v="1166"/>
    <d v="2024-09-24T00:00:00"/>
    <x v="1"/>
    <x v="2"/>
    <s v="Jeans"/>
    <x v="3"/>
    <n v="12461"/>
    <n v="2555"/>
    <x v="4"/>
    <n v="0.20503972393868872"/>
  </r>
  <r>
    <n v="1167"/>
    <d v="2024-09-16T00:00:00"/>
    <x v="1"/>
    <x v="0"/>
    <s v="Table"/>
    <x v="1"/>
    <n v="12865"/>
    <n v="2462"/>
    <x v="4"/>
    <n v="0.19137193937038477"/>
  </r>
  <r>
    <n v="1168"/>
    <d v="2024-03-26T00:00:00"/>
    <x v="2"/>
    <x v="2"/>
    <s v="Jeans"/>
    <x v="4"/>
    <n v="12662"/>
    <n v="1381"/>
    <x v="9"/>
    <n v="0.1090664981835413"/>
  </r>
  <r>
    <n v="1169"/>
    <d v="2024-12-03T00:00:00"/>
    <x v="2"/>
    <x v="2"/>
    <s v="Jacket"/>
    <x v="2"/>
    <n v="14856"/>
    <n v="3293"/>
    <x v="1"/>
    <n v="0.22166128163704901"/>
  </r>
  <r>
    <n v="1170"/>
    <d v="2024-09-13T00:00:00"/>
    <x v="2"/>
    <x v="0"/>
    <s v="Chair"/>
    <x v="4"/>
    <n v="19972"/>
    <n v="2824"/>
    <x v="4"/>
    <n v="0.14139795713999601"/>
  </r>
  <r>
    <n v="1171"/>
    <d v="2024-12-26T00:00:00"/>
    <x v="1"/>
    <x v="1"/>
    <s v="Mobile"/>
    <x v="4"/>
    <n v="2776"/>
    <n v="385"/>
    <x v="1"/>
    <n v="0.13868876080691642"/>
  </r>
  <r>
    <n v="1172"/>
    <d v="2024-03-15T00:00:00"/>
    <x v="0"/>
    <x v="2"/>
    <s v="Jacket"/>
    <x v="0"/>
    <n v="10315"/>
    <n v="-495"/>
    <x v="9"/>
    <n v="-4.7988366456616575E-2"/>
  </r>
  <r>
    <n v="1173"/>
    <d v="2024-03-04T00:00:00"/>
    <x v="1"/>
    <x v="0"/>
    <s v="Table"/>
    <x v="0"/>
    <n v="4498"/>
    <n v="926"/>
    <x v="9"/>
    <n v="0.20586927523343709"/>
  </r>
  <r>
    <n v="1174"/>
    <d v="2024-12-14T00:00:00"/>
    <x v="2"/>
    <x v="2"/>
    <s v="Jeans"/>
    <x v="0"/>
    <n v="19272"/>
    <n v="6210"/>
    <x v="1"/>
    <n v="0.32222914072229142"/>
  </r>
  <r>
    <n v="1175"/>
    <d v="2024-09-11T00:00:00"/>
    <x v="0"/>
    <x v="2"/>
    <s v="T-Shirt"/>
    <x v="2"/>
    <n v="5741"/>
    <n v="2004"/>
    <x v="4"/>
    <n v="0.34906810660163734"/>
  </r>
  <r>
    <n v="1176"/>
    <d v="2024-02-04T00:00:00"/>
    <x v="2"/>
    <x v="2"/>
    <s v="T-Shirt"/>
    <x v="2"/>
    <n v="19946"/>
    <n v="-203"/>
    <x v="7"/>
    <n v="-1.0177479193823323E-2"/>
  </r>
  <r>
    <n v="1177"/>
    <d v="2024-06-16T00:00:00"/>
    <x v="2"/>
    <x v="1"/>
    <s v="Headphones"/>
    <x v="4"/>
    <n v="17304"/>
    <n v="2112"/>
    <x v="10"/>
    <n v="0.12205270457697642"/>
  </r>
  <r>
    <n v="1178"/>
    <d v="2024-07-08T00:00:00"/>
    <x v="0"/>
    <x v="2"/>
    <s v="Jacket"/>
    <x v="1"/>
    <n v="5426"/>
    <n v="-84"/>
    <x v="5"/>
    <n v="-1.5481017323995577E-2"/>
  </r>
  <r>
    <n v="1179"/>
    <d v="2024-06-18T00:00:00"/>
    <x v="1"/>
    <x v="0"/>
    <s v="Chair"/>
    <x v="2"/>
    <n v="8359"/>
    <n v="1791"/>
    <x v="10"/>
    <n v="0.21426007895681301"/>
  </r>
  <r>
    <n v="1180"/>
    <d v="2024-09-13T00:00:00"/>
    <x v="1"/>
    <x v="1"/>
    <s v="Laptop"/>
    <x v="0"/>
    <n v="15596"/>
    <n v="3391"/>
    <x v="4"/>
    <n v="0.21742754552449345"/>
  </r>
  <r>
    <n v="1181"/>
    <d v="2024-12-25T00:00:00"/>
    <x v="0"/>
    <x v="2"/>
    <s v="Jeans"/>
    <x v="0"/>
    <n v="18554"/>
    <n v="737"/>
    <x v="1"/>
    <n v="3.9721892853293091E-2"/>
  </r>
  <r>
    <n v="1182"/>
    <d v="2024-08-09T00:00:00"/>
    <x v="2"/>
    <x v="0"/>
    <s v="Chair"/>
    <x v="0"/>
    <n v="1704"/>
    <n v="617"/>
    <x v="11"/>
    <n v="0.36208920187793425"/>
  </r>
  <r>
    <n v="1183"/>
    <d v="2024-07-21T00:00:00"/>
    <x v="2"/>
    <x v="1"/>
    <s v="Laptop"/>
    <x v="1"/>
    <n v="13031"/>
    <n v="1794"/>
    <x v="5"/>
    <n v="0.13767170593200828"/>
  </r>
  <r>
    <n v="1184"/>
    <d v="2024-03-01T00:00:00"/>
    <x v="2"/>
    <x v="0"/>
    <s v="Chair"/>
    <x v="1"/>
    <n v="13864"/>
    <n v="4756"/>
    <x v="9"/>
    <n v="0.34304673975764571"/>
  </r>
  <r>
    <n v="1185"/>
    <d v="2024-08-10T00:00:00"/>
    <x v="0"/>
    <x v="0"/>
    <s v="Chair"/>
    <x v="3"/>
    <n v="10069"/>
    <n v="-461"/>
    <x v="11"/>
    <n v="-4.5784089780514452E-2"/>
  </r>
  <r>
    <n v="1186"/>
    <d v="2024-03-08T00:00:00"/>
    <x v="2"/>
    <x v="2"/>
    <s v="T-Shirt"/>
    <x v="2"/>
    <n v="6847"/>
    <n v="2440"/>
    <x v="9"/>
    <n v="0.35636044983204324"/>
  </r>
  <r>
    <n v="1187"/>
    <d v="2024-01-12T00:00:00"/>
    <x v="1"/>
    <x v="0"/>
    <s v="Chair"/>
    <x v="1"/>
    <n v="6428"/>
    <n v="805"/>
    <x v="2"/>
    <n v="0.12523335407591785"/>
  </r>
  <r>
    <n v="1188"/>
    <d v="2024-01-04T00:00:00"/>
    <x v="2"/>
    <x v="1"/>
    <s v="Headphones"/>
    <x v="0"/>
    <n v="8340"/>
    <n v="3195"/>
    <x v="2"/>
    <n v="0.38309352517985612"/>
  </r>
  <r>
    <n v="1189"/>
    <d v="2024-01-27T00:00:00"/>
    <x v="0"/>
    <x v="1"/>
    <s v="Laptop"/>
    <x v="1"/>
    <n v="18094"/>
    <n v="2252"/>
    <x v="2"/>
    <n v="0.12446114734166022"/>
  </r>
  <r>
    <n v="1190"/>
    <d v="2024-08-20T00:00:00"/>
    <x v="2"/>
    <x v="0"/>
    <s v="Sofa"/>
    <x v="2"/>
    <n v="7636"/>
    <n v="1985"/>
    <x v="11"/>
    <n v="0.2599528548978523"/>
  </r>
  <r>
    <n v="1191"/>
    <d v="2024-06-21T00:00:00"/>
    <x v="0"/>
    <x v="0"/>
    <s v="Sofa"/>
    <x v="3"/>
    <n v="18228"/>
    <n v="6247"/>
    <x v="10"/>
    <n v="0.34271450515690149"/>
  </r>
  <r>
    <n v="1192"/>
    <d v="2024-03-02T00:00:00"/>
    <x v="2"/>
    <x v="2"/>
    <s v="T-Shirt"/>
    <x v="3"/>
    <n v="3241"/>
    <n v="-307"/>
    <x v="9"/>
    <n v="-9.4723850663375506E-2"/>
  </r>
  <r>
    <n v="1193"/>
    <d v="2024-07-06T00:00:00"/>
    <x v="2"/>
    <x v="0"/>
    <s v="Sofa"/>
    <x v="4"/>
    <n v="18439"/>
    <n v="-213"/>
    <x v="5"/>
    <n v="-1.1551602581484896E-2"/>
  </r>
  <r>
    <n v="1194"/>
    <d v="2024-02-14T00:00:00"/>
    <x v="2"/>
    <x v="0"/>
    <s v="Sofa"/>
    <x v="0"/>
    <n v="8613"/>
    <n v="-228"/>
    <x v="7"/>
    <n v="-2.647161267850923E-2"/>
  </r>
  <r>
    <n v="1195"/>
    <d v="2024-03-20T00:00:00"/>
    <x v="1"/>
    <x v="1"/>
    <s v="Mobile"/>
    <x v="4"/>
    <n v="7474"/>
    <n v="-55"/>
    <x v="9"/>
    <n v="-7.3588439925073587E-3"/>
  </r>
  <r>
    <n v="1196"/>
    <d v="2024-06-08T00:00:00"/>
    <x v="1"/>
    <x v="1"/>
    <s v="Headphones"/>
    <x v="1"/>
    <n v="11078"/>
    <n v="355"/>
    <x v="10"/>
    <n v="3.2045495576818919E-2"/>
  </r>
  <r>
    <n v="1197"/>
    <d v="2024-09-24T00:00:00"/>
    <x v="2"/>
    <x v="2"/>
    <s v="Jacket"/>
    <x v="3"/>
    <n v="17948"/>
    <n v="1898"/>
    <x v="4"/>
    <n v="0.10574994428348562"/>
  </r>
  <r>
    <n v="1198"/>
    <d v="2024-05-07T00:00:00"/>
    <x v="2"/>
    <x v="2"/>
    <s v="T-Shirt"/>
    <x v="1"/>
    <n v="17421"/>
    <n v="-281"/>
    <x v="8"/>
    <n v="-1.6129958096550139E-2"/>
  </r>
  <r>
    <n v="1199"/>
    <d v="2024-08-25T00:00:00"/>
    <x v="2"/>
    <x v="1"/>
    <s v="Headphones"/>
    <x v="4"/>
    <n v="1790"/>
    <n v="379"/>
    <x v="11"/>
    <n v="0.21173184357541899"/>
  </r>
  <r>
    <n v="1200"/>
    <d v="2024-06-10T00:00:00"/>
    <x v="2"/>
    <x v="2"/>
    <s v="Jacket"/>
    <x v="4"/>
    <n v="7065"/>
    <n v="1122"/>
    <x v="10"/>
    <n v="0.15881104033970275"/>
  </r>
  <r>
    <n v="1201"/>
    <d v="2024-09-05T00:00:00"/>
    <x v="0"/>
    <x v="2"/>
    <s v="Jeans"/>
    <x v="3"/>
    <n v="4201"/>
    <n v="372"/>
    <x v="4"/>
    <n v="8.8550345155915255E-2"/>
  </r>
  <r>
    <n v="1202"/>
    <d v="2024-07-23T00:00:00"/>
    <x v="0"/>
    <x v="1"/>
    <s v="Mobile"/>
    <x v="0"/>
    <n v="10439"/>
    <n v="3096"/>
    <x v="5"/>
    <n v="0.29658013219657053"/>
  </r>
  <r>
    <n v="1203"/>
    <d v="2024-06-14T00:00:00"/>
    <x v="0"/>
    <x v="0"/>
    <s v="Chair"/>
    <x v="2"/>
    <n v="4849"/>
    <n v="678"/>
    <x v="10"/>
    <n v="0.13982264384409157"/>
  </r>
  <r>
    <n v="1204"/>
    <d v="2024-12-15T00:00:00"/>
    <x v="1"/>
    <x v="2"/>
    <s v="T-Shirt"/>
    <x v="4"/>
    <n v="17388"/>
    <n v="4444"/>
    <x v="1"/>
    <n v="0.25557855992638601"/>
  </r>
  <r>
    <n v="1205"/>
    <d v="2024-05-28T00:00:00"/>
    <x v="2"/>
    <x v="0"/>
    <s v="Sofa"/>
    <x v="0"/>
    <n v="16935"/>
    <n v="5088"/>
    <x v="8"/>
    <n v="0.30044286979627988"/>
  </r>
  <r>
    <n v="1206"/>
    <d v="2024-08-09T00:00:00"/>
    <x v="1"/>
    <x v="2"/>
    <s v="Jeans"/>
    <x v="1"/>
    <n v="13382"/>
    <n v="4981"/>
    <x v="11"/>
    <n v="0.37221641010312362"/>
  </r>
  <r>
    <n v="1207"/>
    <d v="2024-06-01T00:00:00"/>
    <x v="0"/>
    <x v="1"/>
    <s v="Headphones"/>
    <x v="2"/>
    <n v="1082"/>
    <n v="317"/>
    <x v="10"/>
    <n v="0.29297597042513862"/>
  </r>
  <r>
    <n v="1208"/>
    <d v="2024-06-05T00:00:00"/>
    <x v="2"/>
    <x v="1"/>
    <s v="Mobile"/>
    <x v="2"/>
    <n v="2770"/>
    <n v="-263"/>
    <x v="10"/>
    <n v="-9.4945848375451267E-2"/>
  </r>
  <r>
    <n v="1209"/>
    <d v="2024-09-30T00:00:00"/>
    <x v="0"/>
    <x v="0"/>
    <s v="Table"/>
    <x v="2"/>
    <n v="17981"/>
    <n v="2270"/>
    <x v="4"/>
    <n v="0.12624436905622602"/>
  </r>
  <r>
    <n v="1210"/>
    <d v="2024-03-31T00:00:00"/>
    <x v="1"/>
    <x v="1"/>
    <s v="Mobile"/>
    <x v="3"/>
    <n v="16667"/>
    <n v="4164"/>
    <x v="9"/>
    <n v="0.24983500329993399"/>
  </r>
  <r>
    <n v="1211"/>
    <d v="2024-05-18T00:00:00"/>
    <x v="1"/>
    <x v="1"/>
    <s v="Laptop"/>
    <x v="1"/>
    <n v="15728"/>
    <n v="4784"/>
    <x v="8"/>
    <n v="0.3041709053916582"/>
  </r>
  <r>
    <n v="1212"/>
    <d v="2024-08-08T00:00:00"/>
    <x v="2"/>
    <x v="2"/>
    <s v="Jeans"/>
    <x v="4"/>
    <n v="8751"/>
    <n v="-182"/>
    <x v="11"/>
    <n v="-2.0797623128785282E-2"/>
  </r>
  <r>
    <n v="1213"/>
    <d v="2024-07-01T00:00:00"/>
    <x v="0"/>
    <x v="0"/>
    <s v="Sofa"/>
    <x v="1"/>
    <n v="5959"/>
    <n v="2162"/>
    <x v="5"/>
    <n v="0.36281255244168487"/>
  </r>
  <r>
    <n v="1214"/>
    <d v="2024-01-04T00:00:00"/>
    <x v="1"/>
    <x v="2"/>
    <s v="T-Shirt"/>
    <x v="1"/>
    <n v="6571"/>
    <n v="2626"/>
    <x v="2"/>
    <n v="0.39963475878861665"/>
  </r>
  <r>
    <n v="1215"/>
    <d v="2024-08-09T00:00:00"/>
    <x v="2"/>
    <x v="1"/>
    <s v="Laptop"/>
    <x v="0"/>
    <n v="4036"/>
    <n v="-350"/>
    <x v="11"/>
    <n v="-8.67195242814668E-2"/>
  </r>
  <r>
    <n v="1216"/>
    <d v="2024-08-23T00:00:00"/>
    <x v="0"/>
    <x v="1"/>
    <s v="Headphones"/>
    <x v="1"/>
    <n v="15115"/>
    <n v="5995"/>
    <x v="11"/>
    <n v="0.39662586834270591"/>
  </r>
  <r>
    <n v="1217"/>
    <d v="2024-12-02T00:00:00"/>
    <x v="1"/>
    <x v="0"/>
    <s v="Sofa"/>
    <x v="0"/>
    <n v="3287"/>
    <n v="1031"/>
    <x v="1"/>
    <n v="0.31365987222391239"/>
  </r>
  <r>
    <n v="1218"/>
    <d v="2024-10-08T00:00:00"/>
    <x v="2"/>
    <x v="1"/>
    <s v="Laptop"/>
    <x v="0"/>
    <n v="17904"/>
    <n v="-68"/>
    <x v="3"/>
    <n v="-3.7980339588918675E-3"/>
  </r>
  <r>
    <n v="1219"/>
    <d v="2024-05-20T00:00:00"/>
    <x v="2"/>
    <x v="1"/>
    <s v="Laptop"/>
    <x v="2"/>
    <n v="7106"/>
    <n v="-264"/>
    <x v="8"/>
    <n v="-3.7151702786377708E-2"/>
  </r>
  <r>
    <n v="1220"/>
    <d v="2024-04-17T00:00:00"/>
    <x v="1"/>
    <x v="0"/>
    <s v="Sofa"/>
    <x v="0"/>
    <n v="2300"/>
    <n v="813"/>
    <x v="0"/>
    <n v="0.35347826086956524"/>
  </r>
  <r>
    <n v="1221"/>
    <d v="2024-11-29T00:00:00"/>
    <x v="2"/>
    <x v="2"/>
    <s v="Jeans"/>
    <x v="2"/>
    <n v="4242"/>
    <n v="1202"/>
    <x v="6"/>
    <n v="0.28335690711928335"/>
  </r>
  <r>
    <n v="1222"/>
    <d v="2024-06-19T00:00:00"/>
    <x v="2"/>
    <x v="2"/>
    <s v="Jeans"/>
    <x v="4"/>
    <n v="4655"/>
    <n v="1516"/>
    <x v="10"/>
    <n v="0.32567132116004294"/>
  </r>
  <r>
    <n v="1223"/>
    <d v="2024-05-14T00:00:00"/>
    <x v="1"/>
    <x v="0"/>
    <s v="Table"/>
    <x v="0"/>
    <n v="16658"/>
    <n v="1719"/>
    <x v="8"/>
    <n v="0.10319366070356585"/>
  </r>
  <r>
    <n v="1224"/>
    <d v="2024-11-27T00:00:00"/>
    <x v="0"/>
    <x v="1"/>
    <s v="Mobile"/>
    <x v="1"/>
    <n v="6402"/>
    <n v="1571"/>
    <x v="6"/>
    <n v="0.24539206497969385"/>
  </r>
  <r>
    <n v="1225"/>
    <d v="2024-01-05T00:00:00"/>
    <x v="1"/>
    <x v="0"/>
    <s v="Table"/>
    <x v="0"/>
    <n v="11847"/>
    <n v="4617"/>
    <x v="2"/>
    <n v="0.38971891618131171"/>
  </r>
  <r>
    <n v="1226"/>
    <d v="2024-08-27T00:00:00"/>
    <x v="0"/>
    <x v="0"/>
    <s v="Table"/>
    <x v="0"/>
    <n v="19680"/>
    <n v="7427"/>
    <x v="11"/>
    <n v="0.37738821138211381"/>
  </r>
  <r>
    <n v="1227"/>
    <d v="2024-03-09T00:00:00"/>
    <x v="1"/>
    <x v="0"/>
    <s v="Table"/>
    <x v="3"/>
    <n v="17514"/>
    <n v="3322"/>
    <x v="9"/>
    <n v="0.18967682996459975"/>
  </r>
  <r>
    <n v="1228"/>
    <d v="2024-10-13T00:00:00"/>
    <x v="1"/>
    <x v="2"/>
    <s v="T-Shirt"/>
    <x v="0"/>
    <n v="5553"/>
    <n v="298"/>
    <x v="3"/>
    <n v="5.3664685755447507E-2"/>
  </r>
  <r>
    <n v="1229"/>
    <d v="2024-11-02T00:00:00"/>
    <x v="0"/>
    <x v="0"/>
    <s v="Table"/>
    <x v="1"/>
    <n v="8247"/>
    <n v="3280"/>
    <x v="6"/>
    <n v="0.39772038316963743"/>
  </r>
  <r>
    <n v="1230"/>
    <d v="2024-03-11T00:00:00"/>
    <x v="2"/>
    <x v="2"/>
    <s v="Jeans"/>
    <x v="2"/>
    <n v="15753"/>
    <n v="2872"/>
    <x v="9"/>
    <n v="0.1823144797816289"/>
  </r>
  <r>
    <n v="1231"/>
    <d v="2024-08-20T00:00:00"/>
    <x v="2"/>
    <x v="1"/>
    <s v="Laptop"/>
    <x v="2"/>
    <n v="2081"/>
    <n v="537"/>
    <x v="11"/>
    <n v="0.2580490148966843"/>
  </r>
  <r>
    <n v="1232"/>
    <d v="2024-01-08T00:00:00"/>
    <x v="1"/>
    <x v="0"/>
    <s v="Table"/>
    <x v="4"/>
    <n v="3131"/>
    <n v="750"/>
    <x v="2"/>
    <n v="0.23954008304056212"/>
  </r>
  <r>
    <n v="1233"/>
    <d v="2024-11-15T00:00:00"/>
    <x v="0"/>
    <x v="1"/>
    <s v="Mobile"/>
    <x v="4"/>
    <n v="14764"/>
    <n v="-486"/>
    <x v="6"/>
    <n v="-3.2917908425900838E-2"/>
  </r>
  <r>
    <n v="1234"/>
    <d v="2024-03-19T00:00:00"/>
    <x v="0"/>
    <x v="2"/>
    <s v="T-Shirt"/>
    <x v="0"/>
    <n v="8353"/>
    <n v="1068"/>
    <x v="9"/>
    <n v="0.12785825451933436"/>
  </r>
  <r>
    <n v="1235"/>
    <d v="2024-10-21T00:00:00"/>
    <x v="1"/>
    <x v="0"/>
    <s v="Sofa"/>
    <x v="1"/>
    <n v="7369"/>
    <n v="204"/>
    <x v="3"/>
    <n v="2.7683539150495318E-2"/>
  </r>
  <r>
    <n v="1236"/>
    <d v="2024-02-15T00:00:00"/>
    <x v="0"/>
    <x v="2"/>
    <s v="Jacket"/>
    <x v="1"/>
    <n v="10427"/>
    <n v="3225"/>
    <x v="7"/>
    <n v="0.309293181164285"/>
  </r>
  <r>
    <n v="1237"/>
    <d v="2024-08-13T00:00:00"/>
    <x v="0"/>
    <x v="0"/>
    <s v="Table"/>
    <x v="2"/>
    <n v="19901"/>
    <n v="3802"/>
    <x v="11"/>
    <n v="0.19104567609667855"/>
  </r>
  <r>
    <n v="1238"/>
    <d v="2024-08-16T00:00:00"/>
    <x v="1"/>
    <x v="1"/>
    <s v="Mobile"/>
    <x v="1"/>
    <n v="11532"/>
    <n v="2136"/>
    <x v="11"/>
    <n v="0.18522372528616024"/>
  </r>
  <r>
    <n v="1239"/>
    <d v="2024-06-14T00:00:00"/>
    <x v="2"/>
    <x v="2"/>
    <s v="T-Shirt"/>
    <x v="4"/>
    <n v="1385"/>
    <n v="-496"/>
    <x v="10"/>
    <n v="-0.35812274368231045"/>
  </r>
  <r>
    <n v="1240"/>
    <d v="2024-06-21T00:00:00"/>
    <x v="2"/>
    <x v="1"/>
    <s v="Laptop"/>
    <x v="2"/>
    <n v="9148"/>
    <n v="726"/>
    <x v="10"/>
    <n v="7.9361609094884128E-2"/>
  </r>
  <r>
    <n v="1241"/>
    <d v="2024-12-19T00:00:00"/>
    <x v="0"/>
    <x v="2"/>
    <s v="Jeans"/>
    <x v="3"/>
    <n v="4479"/>
    <n v="136"/>
    <x v="1"/>
    <n v="3.0363920517972761E-2"/>
  </r>
  <r>
    <n v="1242"/>
    <d v="2024-05-24T00:00:00"/>
    <x v="2"/>
    <x v="0"/>
    <s v="Chair"/>
    <x v="4"/>
    <n v="4926"/>
    <n v="128"/>
    <x v="8"/>
    <n v="2.5984571660576532E-2"/>
  </r>
  <r>
    <n v="1243"/>
    <d v="2024-10-08T00:00:00"/>
    <x v="2"/>
    <x v="1"/>
    <s v="Mobile"/>
    <x v="3"/>
    <n v="5773"/>
    <n v="285"/>
    <x v="3"/>
    <n v="4.9367746405681624E-2"/>
  </r>
  <r>
    <n v="1244"/>
    <d v="2024-01-05T00:00:00"/>
    <x v="1"/>
    <x v="1"/>
    <s v="Laptop"/>
    <x v="1"/>
    <n v="11673"/>
    <n v="1512"/>
    <x v="2"/>
    <n v="0.12952968388589051"/>
  </r>
  <r>
    <n v="1245"/>
    <d v="2024-03-19T00:00:00"/>
    <x v="1"/>
    <x v="0"/>
    <s v="Sofa"/>
    <x v="2"/>
    <n v="14772"/>
    <n v="296"/>
    <x v="9"/>
    <n v="2.0037909558624424E-2"/>
  </r>
  <r>
    <n v="1246"/>
    <d v="2024-08-16T00:00:00"/>
    <x v="1"/>
    <x v="0"/>
    <s v="Sofa"/>
    <x v="1"/>
    <n v="4139"/>
    <n v="1208"/>
    <x v="11"/>
    <n v="0.2918579366996859"/>
  </r>
  <r>
    <n v="1247"/>
    <d v="2024-06-25T00:00:00"/>
    <x v="1"/>
    <x v="1"/>
    <s v="Laptop"/>
    <x v="2"/>
    <n v="16240"/>
    <n v="2334"/>
    <x v="10"/>
    <n v="0.14371921182266009"/>
  </r>
  <r>
    <n v="1248"/>
    <d v="2024-09-29T00:00:00"/>
    <x v="0"/>
    <x v="1"/>
    <s v="Headphones"/>
    <x v="3"/>
    <n v="1482"/>
    <n v="-320"/>
    <x v="4"/>
    <n v="-0.21592442645074225"/>
  </r>
  <r>
    <n v="1249"/>
    <d v="2024-05-03T00:00:00"/>
    <x v="2"/>
    <x v="1"/>
    <s v="Mobile"/>
    <x v="4"/>
    <n v="1345"/>
    <n v="492"/>
    <x v="8"/>
    <n v="0.36579925650557621"/>
  </r>
  <r>
    <n v="1250"/>
    <d v="2024-04-09T00:00:00"/>
    <x v="1"/>
    <x v="2"/>
    <s v="T-Shirt"/>
    <x v="0"/>
    <n v="6962"/>
    <n v="723"/>
    <x v="0"/>
    <n v="0.10384946854352198"/>
  </r>
  <r>
    <n v="1251"/>
    <d v="2024-05-25T00:00:00"/>
    <x v="1"/>
    <x v="2"/>
    <s v="Jeans"/>
    <x v="3"/>
    <n v="7743"/>
    <n v="-221"/>
    <x v="8"/>
    <n v="-2.8541908820870463E-2"/>
  </r>
  <r>
    <n v="1252"/>
    <d v="2024-10-04T00:00:00"/>
    <x v="2"/>
    <x v="2"/>
    <s v="T-Shirt"/>
    <x v="1"/>
    <n v="14337"/>
    <n v="1862"/>
    <x v="3"/>
    <n v="0.12987375322591896"/>
  </r>
  <r>
    <n v="1253"/>
    <d v="2024-04-05T00:00:00"/>
    <x v="2"/>
    <x v="2"/>
    <s v="Jeans"/>
    <x v="0"/>
    <n v="11977"/>
    <n v="3347"/>
    <x v="0"/>
    <n v="0.2794522835434583"/>
  </r>
  <r>
    <n v="1254"/>
    <d v="2024-05-30T00:00:00"/>
    <x v="2"/>
    <x v="2"/>
    <s v="Jacket"/>
    <x v="2"/>
    <n v="2587"/>
    <n v="556"/>
    <x v="8"/>
    <n v="0.21492075763432547"/>
  </r>
  <r>
    <n v="1255"/>
    <d v="2024-08-05T00:00:00"/>
    <x v="0"/>
    <x v="0"/>
    <s v="Chair"/>
    <x v="4"/>
    <n v="17568"/>
    <n v="4791"/>
    <x v="11"/>
    <n v="0.27271174863387976"/>
  </r>
  <r>
    <n v="1256"/>
    <d v="2024-06-17T00:00:00"/>
    <x v="2"/>
    <x v="2"/>
    <s v="T-Shirt"/>
    <x v="3"/>
    <n v="5693"/>
    <n v="-362"/>
    <x v="10"/>
    <n v="-6.3586861057438965E-2"/>
  </r>
  <r>
    <n v="1257"/>
    <d v="2024-04-23T00:00:00"/>
    <x v="2"/>
    <x v="1"/>
    <s v="Laptop"/>
    <x v="1"/>
    <n v="13773"/>
    <n v="1701"/>
    <x v="0"/>
    <n v="0.12350250490089305"/>
  </r>
  <r>
    <n v="1258"/>
    <d v="2024-01-25T00:00:00"/>
    <x v="0"/>
    <x v="0"/>
    <s v="Table"/>
    <x v="3"/>
    <n v="5607"/>
    <n v="1935"/>
    <x v="2"/>
    <n v="0.3451043338683788"/>
  </r>
  <r>
    <n v="1259"/>
    <d v="2024-02-18T00:00:00"/>
    <x v="0"/>
    <x v="0"/>
    <s v="Chair"/>
    <x v="0"/>
    <n v="9936"/>
    <n v="861"/>
    <x v="7"/>
    <n v="8.6654589371980673E-2"/>
  </r>
  <r>
    <n v="1260"/>
    <d v="2024-06-15T00:00:00"/>
    <x v="1"/>
    <x v="0"/>
    <s v="Sofa"/>
    <x v="2"/>
    <n v="19346"/>
    <n v="595"/>
    <x v="10"/>
    <n v="3.0755711775043937E-2"/>
  </r>
  <r>
    <n v="1261"/>
    <d v="2024-02-05T00:00:00"/>
    <x v="1"/>
    <x v="1"/>
    <s v="Headphones"/>
    <x v="1"/>
    <n v="14455"/>
    <n v="901"/>
    <x v="7"/>
    <n v="6.2331373227257007E-2"/>
  </r>
  <r>
    <n v="1262"/>
    <d v="2024-01-11T00:00:00"/>
    <x v="1"/>
    <x v="0"/>
    <s v="Chair"/>
    <x v="1"/>
    <n v="19000"/>
    <n v="4985"/>
    <x v="2"/>
    <n v="0.26236842105263158"/>
  </r>
  <r>
    <n v="1263"/>
    <d v="2024-05-24T00:00:00"/>
    <x v="2"/>
    <x v="2"/>
    <s v="Jacket"/>
    <x v="4"/>
    <n v="5671"/>
    <n v="32"/>
    <x v="8"/>
    <n v="5.6427437841650501E-3"/>
  </r>
  <r>
    <n v="1264"/>
    <d v="2024-12-01T00:00:00"/>
    <x v="2"/>
    <x v="2"/>
    <s v="Jeans"/>
    <x v="1"/>
    <n v="15627"/>
    <n v="2076"/>
    <x v="1"/>
    <n v="0.13284699558456517"/>
  </r>
  <r>
    <n v="1265"/>
    <d v="2024-10-17T00:00:00"/>
    <x v="0"/>
    <x v="1"/>
    <s v="Mobile"/>
    <x v="3"/>
    <n v="13701"/>
    <n v="-297"/>
    <x v="3"/>
    <n v="-2.1677249835778411E-2"/>
  </r>
  <r>
    <n v="1266"/>
    <d v="2024-10-16T00:00:00"/>
    <x v="0"/>
    <x v="1"/>
    <s v="Headphones"/>
    <x v="0"/>
    <n v="12857"/>
    <n v="636"/>
    <x v="3"/>
    <n v="4.9467216302403361E-2"/>
  </r>
  <r>
    <n v="1267"/>
    <d v="2024-10-07T00:00:00"/>
    <x v="2"/>
    <x v="2"/>
    <s v="T-Shirt"/>
    <x v="1"/>
    <n v="13087"/>
    <n v="5157"/>
    <x v="3"/>
    <n v="0.3940551692519294"/>
  </r>
  <r>
    <n v="1268"/>
    <d v="2024-10-31T00:00:00"/>
    <x v="0"/>
    <x v="0"/>
    <s v="Table"/>
    <x v="3"/>
    <n v="11978"/>
    <n v="4570"/>
    <x v="3"/>
    <n v="0.38153281015194523"/>
  </r>
  <r>
    <n v="1269"/>
    <d v="2024-08-30T00:00:00"/>
    <x v="1"/>
    <x v="1"/>
    <s v="Mobile"/>
    <x v="1"/>
    <n v="12934"/>
    <n v="1083"/>
    <x v="11"/>
    <n v="8.3732797278490798E-2"/>
  </r>
  <r>
    <n v="1270"/>
    <d v="2024-10-29T00:00:00"/>
    <x v="1"/>
    <x v="2"/>
    <s v="T-Shirt"/>
    <x v="3"/>
    <n v="18333"/>
    <n v="669"/>
    <x v="3"/>
    <n v="3.6491572574046803E-2"/>
  </r>
  <r>
    <n v="1271"/>
    <d v="2024-07-27T00:00:00"/>
    <x v="0"/>
    <x v="2"/>
    <s v="Jacket"/>
    <x v="3"/>
    <n v="16638"/>
    <n v="5615"/>
    <x v="5"/>
    <n v="0.3374804664022118"/>
  </r>
  <r>
    <n v="1272"/>
    <d v="2024-01-29T00:00:00"/>
    <x v="2"/>
    <x v="1"/>
    <s v="Mobile"/>
    <x v="4"/>
    <n v="10020"/>
    <n v="3699"/>
    <x v="2"/>
    <n v="0.36916167664670657"/>
  </r>
  <r>
    <n v="1273"/>
    <d v="2024-02-09T00:00:00"/>
    <x v="0"/>
    <x v="1"/>
    <s v="Mobile"/>
    <x v="0"/>
    <n v="11107"/>
    <n v="2731"/>
    <x v="7"/>
    <n v="0.24588097596110561"/>
  </r>
  <r>
    <n v="1274"/>
    <d v="2024-12-31T00:00:00"/>
    <x v="0"/>
    <x v="0"/>
    <s v="Table"/>
    <x v="4"/>
    <n v="19011"/>
    <n v="367"/>
    <x v="1"/>
    <n v="1.930461311872074E-2"/>
  </r>
  <r>
    <n v="1275"/>
    <d v="2024-05-11T00:00:00"/>
    <x v="2"/>
    <x v="2"/>
    <s v="Jacket"/>
    <x v="0"/>
    <n v="8312"/>
    <n v="-356"/>
    <x v="8"/>
    <n v="-4.2829643888354189E-2"/>
  </r>
  <r>
    <n v="1276"/>
    <d v="2024-03-09T00:00:00"/>
    <x v="0"/>
    <x v="2"/>
    <s v="Jacket"/>
    <x v="0"/>
    <n v="14240"/>
    <n v="4317"/>
    <x v="9"/>
    <n v="0.30316011235955054"/>
  </r>
  <r>
    <n v="1277"/>
    <d v="2024-05-25T00:00:00"/>
    <x v="2"/>
    <x v="2"/>
    <s v="Jeans"/>
    <x v="2"/>
    <n v="6525"/>
    <n v="2390"/>
    <x v="8"/>
    <n v="0.36628352490421456"/>
  </r>
  <r>
    <n v="1278"/>
    <d v="2024-08-01T00:00:00"/>
    <x v="1"/>
    <x v="2"/>
    <s v="Jeans"/>
    <x v="1"/>
    <n v="13004"/>
    <n v="1015"/>
    <x v="11"/>
    <n v="7.8052906797908342E-2"/>
  </r>
  <r>
    <n v="1279"/>
    <d v="2024-12-31T00:00:00"/>
    <x v="1"/>
    <x v="0"/>
    <s v="Chair"/>
    <x v="4"/>
    <n v="13863"/>
    <n v="1344"/>
    <x v="1"/>
    <n v="9.6948712399913442E-2"/>
  </r>
  <r>
    <n v="1280"/>
    <d v="2024-04-16T00:00:00"/>
    <x v="0"/>
    <x v="1"/>
    <s v="Mobile"/>
    <x v="2"/>
    <n v="18206"/>
    <n v="3338"/>
    <x v="0"/>
    <n v="0.18334614962100407"/>
  </r>
  <r>
    <n v="1281"/>
    <d v="2024-03-03T00:00:00"/>
    <x v="2"/>
    <x v="2"/>
    <s v="T-Shirt"/>
    <x v="2"/>
    <n v="19148"/>
    <n v="6217"/>
    <x v="9"/>
    <n v="0.32468142886985585"/>
  </r>
  <r>
    <n v="1282"/>
    <d v="2024-07-23T00:00:00"/>
    <x v="1"/>
    <x v="2"/>
    <s v="T-Shirt"/>
    <x v="1"/>
    <n v="12174"/>
    <n v="-84"/>
    <x v="5"/>
    <n v="-6.8999507146377528E-3"/>
  </r>
  <r>
    <n v="1283"/>
    <d v="2024-09-26T00:00:00"/>
    <x v="2"/>
    <x v="0"/>
    <s v="Chair"/>
    <x v="0"/>
    <n v="14117"/>
    <n v="5027"/>
    <x v="4"/>
    <n v="0.35609548770985339"/>
  </r>
  <r>
    <n v="1284"/>
    <d v="2024-10-05T00:00:00"/>
    <x v="1"/>
    <x v="1"/>
    <s v="Headphones"/>
    <x v="0"/>
    <n v="16195"/>
    <n v="2089"/>
    <x v="3"/>
    <n v="0.12899042914479777"/>
  </r>
  <r>
    <n v="1285"/>
    <d v="2024-01-15T00:00:00"/>
    <x v="0"/>
    <x v="1"/>
    <s v="Headphones"/>
    <x v="2"/>
    <n v="4255"/>
    <n v="49"/>
    <x v="2"/>
    <n v="1.1515863689776733E-2"/>
  </r>
  <r>
    <n v="1286"/>
    <d v="2024-07-04T00:00:00"/>
    <x v="2"/>
    <x v="1"/>
    <s v="Headphones"/>
    <x v="1"/>
    <n v="13289"/>
    <n v="977"/>
    <x v="5"/>
    <n v="7.3519452178493497E-2"/>
  </r>
  <r>
    <n v="1287"/>
    <d v="2024-05-25T00:00:00"/>
    <x v="2"/>
    <x v="1"/>
    <s v="Mobile"/>
    <x v="0"/>
    <n v="14581"/>
    <n v="719"/>
    <x v="8"/>
    <n v="4.931074686235512E-2"/>
  </r>
  <r>
    <n v="1288"/>
    <d v="2024-08-27T00:00:00"/>
    <x v="2"/>
    <x v="1"/>
    <s v="Laptop"/>
    <x v="4"/>
    <n v="14741"/>
    <n v="5306"/>
    <x v="11"/>
    <n v="0.35994844311783464"/>
  </r>
  <r>
    <n v="1289"/>
    <d v="2024-08-25T00:00:00"/>
    <x v="0"/>
    <x v="2"/>
    <s v="Jacket"/>
    <x v="4"/>
    <n v="10166"/>
    <n v="2850"/>
    <x v="11"/>
    <n v="0.28034625221325987"/>
  </r>
  <r>
    <n v="1290"/>
    <d v="2024-02-28T00:00:00"/>
    <x v="2"/>
    <x v="2"/>
    <s v="Jeans"/>
    <x v="2"/>
    <n v="12714"/>
    <n v="4025"/>
    <x v="7"/>
    <n v="0.31658014786849142"/>
  </r>
  <r>
    <n v="1291"/>
    <d v="2024-05-20T00:00:00"/>
    <x v="1"/>
    <x v="0"/>
    <s v="Table"/>
    <x v="0"/>
    <n v="5011"/>
    <n v="1367"/>
    <x v="8"/>
    <n v="0.27279984035122729"/>
  </r>
  <r>
    <n v="1292"/>
    <d v="2024-03-25T00:00:00"/>
    <x v="2"/>
    <x v="0"/>
    <s v="Chair"/>
    <x v="0"/>
    <n v="11201"/>
    <n v="985"/>
    <x v="9"/>
    <n v="8.7938576912775651E-2"/>
  </r>
  <r>
    <n v="1293"/>
    <d v="2024-03-24T00:00:00"/>
    <x v="1"/>
    <x v="2"/>
    <s v="Jeans"/>
    <x v="2"/>
    <n v="16813"/>
    <n v="49"/>
    <x v="9"/>
    <n v="2.9144114673169573E-3"/>
  </r>
  <r>
    <n v="1294"/>
    <d v="2024-09-04T00:00:00"/>
    <x v="1"/>
    <x v="2"/>
    <s v="T-Shirt"/>
    <x v="3"/>
    <n v="12520"/>
    <n v="942"/>
    <x v="4"/>
    <n v="7.5239616613418533E-2"/>
  </r>
  <r>
    <n v="1295"/>
    <d v="2024-04-20T00:00:00"/>
    <x v="1"/>
    <x v="1"/>
    <s v="Mobile"/>
    <x v="1"/>
    <n v="4277"/>
    <n v="1256"/>
    <x v="0"/>
    <n v="0.29366378302548513"/>
  </r>
  <r>
    <n v="1296"/>
    <d v="2024-11-21T00:00:00"/>
    <x v="0"/>
    <x v="1"/>
    <s v="Mobile"/>
    <x v="3"/>
    <n v="18293"/>
    <n v="6193"/>
    <x v="6"/>
    <n v="0.33854479855682501"/>
  </r>
  <r>
    <n v="1297"/>
    <d v="2024-07-09T00:00:00"/>
    <x v="2"/>
    <x v="0"/>
    <s v="Table"/>
    <x v="1"/>
    <n v="19467"/>
    <n v="6383"/>
    <x v="5"/>
    <n v="0.32788822109210458"/>
  </r>
  <r>
    <n v="1298"/>
    <d v="2024-07-10T00:00:00"/>
    <x v="0"/>
    <x v="0"/>
    <s v="Table"/>
    <x v="4"/>
    <n v="10036"/>
    <n v="3432"/>
    <x v="5"/>
    <n v="0.34196891191709844"/>
  </r>
  <r>
    <n v="1299"/>
    <d v="2024-03-10T00:00:00"/>
    <x v="2"/>
    <x v="2"/>
    <s v="Jeans"/>
    <x v="0"/>
    <n v="2172"/>
    <n v="-119"/>
    <x v="9"/>
    <n v="-5.4788213627992632E-2"/>
  </r>
  <r>
    <n v="1300"/>
    <d v="2024-02-03T00:00:00"/>
    <x v="0"/>
    <x v="2"/>
    <s v="T-Shirt"/>
    <x v="1"/>
    <n v="13848"/>
    <n v="4829"/>
    <x v="7"/>
    <n v="0.3487146158290006"/>
  </r>
  <r>
    <n v="1301"/>
    <d v="2024-08-06T00:00:00"/>
    <x v="0"/>
    <x v="1"/>
    <s v="Mobile"/>
    <x v="1"/>
    <n v="12690"/>
    <n v="1138"/>
    <x v="11"/>
    <n v="8.9676910953506703E-2"/>
  </r>
  <r>
    <n v="1302"/>
    <d v="2024-05-16T00:00:00"/>
    <x v="2"/>
    <x v="1"/>
    <s v="Laptop"/>
    <x v="4"/>
    <n v="12900"/>
    <n v="4955"/>
    <x v="8"/>
    <n v="0.38410852713178295"/>
  </r>
  <r>
    <n v="1303"/>
    <d v="2024-02-14T00:00:00"/>
    <x v="0"/>
    <x v="2"/>
    <s v="Jacket"/>
    <x v="1"/>
    <n v="8203"/>
    <n v="2907"/>
    <x v="7"/>
    <n v="0.35438254297208338"/>
  </r>
  <r>
    <n v="1304"/>
    <d v="2024-02-27T00:00:00"/>
    <x v="2"/>
    <x v="1"/>
    <s v="Headphones"/>
    <x v="1"/>
    <n v="18528"/>
    <n v="3539"/>
    <x v="7"/>
    <n v="0.19100820379965458"/>
  </r>
  <r>
    <n v="1305"/>
    <d v="2024-04-27T00:00:00"/>
    <x v="1"/>
    <x v="1"/>
    <s v="Mobile"/>
    <x v="2"/>
    <n v="11128"/>
    <n v="1356"/>
    <x v="0"/>
    <n v="0.1218547807332854"/>
  </r>
  <r>
    <n v="1306"/>
    <d v="2024-03-08T00:00:00"/>
    <x v="0"/>
    <x v="1"/>
    <s v="Headphones"/>
    <x v="0"/>
    <n v="19750"/>
    <n v="5041"/>
    <x v="9"/>
    <n v="0.25524050632911394"/>
  </r>
  <r>
    <n v="1307"/>
    <d v="2024-04-23T00:00:00"/>
    <x v="0"/>
    <x v="2"/>
    <s v="Jacket"/>
    <x v="4"/>
    <n v="12199"/>
    <n v="617"/>
    <x v="0"/>
    <n v="5.0577916222641198E-2"/>
  </r>
  <r>
    <n v="1308"/>
    <d v="2024-09-16T00:00:00"/>
    <x v="1"/>
    <x v="0"/>
    <s v="Table"/>
    <x v="1"/>
    <n v="12450"/>
    <n v="-414"/>
    <x v="4"/>
    <n v="-3.3253012048192768E-2"/>
  </r>
  <r>
    <n v="1309"/>
    <d v="2024-10-12T00:00:00"/>
    <x v="0"/>
    <x v="2"/>
    <s v="Jeans"/>
    <x v="2"/>
    <n v="4231"/>
    <n v="626"/>
    <x v="3"/>
    <n v="0.1479555660600331"/>
  </r>
  <r>
    <n v="1310"/>
    <d v="2024-04-06T00:00:00"/>
    <x v="2"/>
    <x v="0"/>
    <s v="Sofa"/>
    <x v="4"/>
    <n v="2616"/>
    <n v="-285"/>
    <x v="0"/>
    <n v="-0.10894495412844037"/>
  </r>
  <r>
    <n v="1311"/>
    <d v="2024-03-18T00:00:00"/>
    <x v="2"/>
    <x v="0"/>
    <s v="Sofa"/>
    <x v="1"/>
    <n v="11774"/>
    <n v="3711"/>
    <x v="9"/>
    <n v="0.31518600305758449"/>
  </r>
  <r>
    <n v="1312"/>
    <d v="2024-01-01T00:00:00"/>
    <x v="0"/>
    <x v="1"/>
    <s v="Mobile"/>
    <x v="3"/>
    <n v="10185"/>
    <n v="3485"/>
    <x v="2"/>
    <n v="0.34216985763377517"/>
  </r>
  <r>
    <n v="1313"/>
    <d v="2024-10-26T00:00:00"/>
    <x v="2"/>
    <x v="2"/>
    <s v="T-Shirt"/>
    <x v="2"/>
    <n v="8546"/>
    <n v="1527"/>
    <x v="3"/>
    <n v="0.1786800842499415"/>
  </r>
  <r>
    <n v="1314"/>
    <d v="2024-04-13T00:00:00"/>
    <x v="1"/>
    <x v="2"/>
    <s v="Jacket"/>
    <x v="3"/>
    <n v="5622"/>
    <n v="1422"/>
    <x v="0"/>
    <n v="0.25293489861259338"/>
  </r>
  <r>
    <n v="1315"/>
    <d v="2024-02-04T00:00:00"/>
    <x v="1"/>
    <x v="1"/>
    <s v="Headphones"/>
    <x v="2"/>
    <n v="18178"/>
    <n v="2404"/>
    <x v="7"/>
    <n v="0.13224777203212676"/>
  </r>
  <r>
    <n v="1316"/>
    <d v="2024-11-28T00:00:00"/>
    <x v="0"/>
    <x v="0"/>
    <s v="Chair"/>
    <x v="1"/>
    <n v="6630"/>
    <n v="436"/>
    <x v="6"/>
    <n v="6.5761689291101058E-2"/>
  </r>
  <r>
    <n v="1317"/>
    <d v="2024-02-29T00:00:00"/>
    <x v="2"/>
    <x v="0"/>
    <s v="Table"/>
    <x v="4"/>
    <n v="5257"/>
    <n v="1202"/>
    <x v="7"/>
    <n v="0.22864751759558682"/>
  </r>
  <r>
    <n v="1318"/>
    <d v="2024-05-19T00:00:00"/>
    <x v="1"/>
    <x v="2"/>
    <s v="Jacket"/>
    <x v="0"/>
    <n v="1346"/>
    <n v="-303"/>
    <x v="8"/>
    <n v="-0.22511144130757801"/>
  </r>
  <r>
    <n v="1319"/>
    <d v="2024-09-11T00:00:00"/>
    <x v="1"/>
    <x v="1"/>
    <s v="Laptop"/>
    <x v="3"/>
    <n v="6804"/>
    <n v="2485"/>
    <x v="4"/>
    <n v="0.36522633744855965"/>
  </r>
  <r>
    <n v="1320"/>
    <d v="2024-12-14T00:00:00"/>
    <x v="1"/>
    <x v="1"/>
    <s v="Headphones"/>
    <x v="2"/>
    <n v="9650"/>
    <n v="827"/>
    <x v="1"/>
    <n v="8.5699481865284977E-2"/>
  </r>
  <r>
    <n v="1321"/>
    <d v="2024-07-16T00:00:00"/>
    <x v="0"/>
    <x v="0"/>
    <s v="Table"/>
    <x v="3"/>
    <n v="18531"/>
    <n v="-240"/>
    <x v="5"/>
    <n v="-1.2951270843451514E-2"/>
  </r>
  <r>
    <n v="1322"/>
    <d v="2024-05-12T00:00:00"/>
    <x v="1"/>
    <x v="2"/>
    <s v="Jacket"/>
    <x v="0"/>
    <n v="14718"/>
    <n v="-424"/>
    <x v="8"/>
    <n v="-2.8808261992118493E-2"/>
  </r>
  <r>
    <n v="1323"/>
    <d v="2024-07-19T00:00:00"/>
    <x v="0"/>
    <x v="0"/>
    <s v="Table"/>
    <x v="3"/>
    <n v="18059"/>
    <n v="3713"/>
    <x v="5"/>
    <n v="0.20560385403399967"/>
  </r>
  <r>
    <n v="1324"/>
    <d v="2024-09-06T00:00:00"/>
    <x v="1"/>
    <x v="1"/>
    <s v="Laptop"/>
    <x v="3"/>
    <n v="2952"/>
    <n v="251"/>
    <x v="4"/>
    <n v="8.5027100271002715E-2"/>
  </r>
  <r>
    <n v="1325"/>
    <d v="2024-05-13T00:00:00"/>
    <x v="1"/>
    <x v="0"/>
    <s v="Sofa"/>
    <x v="4"/>
    <n v="14795"/>
    <n v="3146"/>
    <x v="8"/>
    <n v="0.21263940520446098"/>
  </r>
  <r>
    <n v="1326"/>
    <d v="2024-11-18T00:00:00"/>
    <x v="2"/>
    <x v="2"/>
    <s v="T-Shirt"/>
    <x v="2"/>
    <n v="19984"/>
    <n v="924"/>
    <x v="6"/>
    <n v="4.6236989591673341E-2"/>
  </r>
  <r>
    <n v="1327"/>
    <d v="2024-10-12T00:00:00"/>
    <x v="2"/>
    <x v="2"/>
    <s v="Jacket"/>
    <x v="2"/>
    <n v="7281"/>
    <n v="1436"/>
    <x v="3"/>
    <n v="0.19722565581650872"/>
  </r>
  <r>
    <n v="1328"/>
    <d v="2024-01-31T00:00:00"/>
    <x v="2"/>
    <x v="0"/>
    <s v="Chair"/>
    <x v="2"/>
    <n v="8694"/>
    <n v="3246"/>
    <x v="2"/>
    <n v="0.37336093857832986"/>
  </r>
  <r>
    <n v="1329"/>
    <d v="2024-11-17T00:00:00"/>
    <x v="1"/>
    <x v="1"/>
    <s v="Mobile"/>
    <x v="0"/>
    <n v="4943"/>
    <n v="1853"/>
    <x v="6"/>
    <n v="0.37487355856767146"/>
  </r>
  <r>
    <n v="1330"/>
    <d v="2024-09-06T00:00:00"/>
    <x v="1"/>
    <x v="1"/>
    <s v="Laptop"/>
    <x v="1"/>
    <n v="12280"/>
    <n v="1060"/>
    <x v="4"/>
    <n v="8.6319218241042342E-2"/>
  </r>
  <r>
    <n v="1331"/>
    <d v="2024-11-25T00:00:00"/>
    <x v="0"/>
    <x v="1"/>
    <s v="Headphones"/>
    <x v="1"/>
    <n v="19927"/>
    <n v="35"/>
    <x v="6"/>
    <n v="1.7564108997842123E-3"/>
  </r>
  <r>
    <n v="1332"/>
    <d v="2024-01-18T00:00:00"/>
    <x v="0"/>
    <x v="2"/>
    <s v="Jeans"/>
    <x v="1"/>
    <n v="10522"/>
    <n v="683"/>
    <x v="2"/>
    <n v="6.491161376164227E-2"/>
  </r>
  <r>
    <n v="1333"/>
    <d v="2024-10-18T00:00:00"/>
    <x v="2"/>
    <x v="1"/>
    <s v="Headphones"/>
    <x v="3"/>
    <n v="17907"/>
    <n v="541"/>
    <x v="3"/>
    <n v="3.021164907578042E-2"/>
  </r>
  <r>
    <n v="1334"/>
    <d v="2024-08-21T00:00:00"/>
    <x v="1"/>
    <x v="1"/>
    <s v="Headphones"/>
    <x v="3"/>
    <n v="3109"/>
    <n v="-499"/>
    <x v="11"/>
    <n v="-0.16050176905757479"/>
  </r>
  <r>
    <n v="1335"/>
    <d v="2024-11-22T00:00:00"/>
    <x v="0"/>
    <x v="0"/>
    <s v="Chair"/>
    <x v="3"/>
    <n v="14296"/>
    <n v="4047"/>
    <x v="6"/>
    <n v="0.28308617795187463"/>
  </r>
  <r>
    <n v="1336"/>
    <d v="2024-08-05T00:00:00"/>
    <x v="1"/>
    <x v="1"/>
    <s v="Laptop"/>
    <x v="4"/>
    <n v="17143"/>
    <n v="5236"/>
    <x v="11"/>
    <n v="0.30543078807676605"/>
  </r>
  <r>
    <n v="1337"/>
    <d v="2024-08-28T00:00:00"/>
    <x v="1"/>
    <x v="2"/>
    <s v="Jacket"/>
    <x v="2"/>
    <n v="3166"/>
    <n v="1188"/>
    <x v="11"/>
    <n v="0.37523689197725835"/>
  </r>
  <r>
    <n v="1338"/>
    <d v="2024-04-20T00:00:00"/>
    <x v="1"/>
    <x v="1"/>
    <s v="Mobile"/>
    <x v="4"/>
    <n v="7376"/>
    <n v="1678"/>
    <x v="0"/>
    <n v="0.2274945770065076"/>
  </r>
  <r>
    <n v="1339"/>
    <d v="2024-07-11T00:00:00"/>
    <x v="0"/>
    <x v="2"/>
    <s v="T-Shirt"/>
    <x v="3"/>
    <n v="14105"/>
    <n v="5256"/>
    <x v="5"/>
    <n v="0.37263381779510812"/>
  </r>
  <r>
    <n v="1340"/>
    <d v="2024-06-25T00:00:00"/>
    <x v="2"/>
    <x v="2"/>
    <s v="Jeans"/>
    <x v="1"/>
    <n v="1757"/>
    <n v="578"/>
    <x v="10"/>
    <n v="0.32896983494593057"/>
  </r>
  <r>
    <n v="1341"/>
    <d v="2024-03-15T00:00:00"/>
    <x v="2"/>
    <x v="0"/>
    <s v="Table"/>
    <x v="0"/>
    <n v="8336"/>
    <n v="1213"/>
    <x v="9"/>
    <n v="0.14551343570057582"/>
  </r>
  <r>
    <n v="1342"/>
    <d v="2024-11-29T00:00:00"/>
    <x v="1"/>
    <x v="0"/>
    <s v="Chair"/>
    <x v="2"/>
    <n v="12881"/>
    <n v="79"/>
    <x v="6"/>
    <n v="6.1330642030898224E-3"/>
  </r>
  <r>
    <n v="1343"/>
    <d v="2024-10-30T00:00:00"/>
    <x v="1"/>
    <x v="0"/>
    <s v="Sofa"/>
    <x v="3"/>
    <n v="19043"/>
    <n v="-34"/>
    <x v="3"/>
    <n v="-1.7854329674946174E-3"/>
  </r>
  <r>
    <n v="1344"/>
    <d v="2024-10-30T00:00:00"/>
    <x v="1"/>
    <x v="0"/>
    <s v="Chair"/>
    <x v="0"/>
    <n v="1270"/>
    <n v="342"/>
    <x v="3"/>
    <n v="0.26929133858267718"/>
  </r>
  <r>
    <n v="1345"/>
    <d v="2024-04-02T00:00:00"/>
    <x v="0"/>
    <x v="1"/>
    <s v="Headphones"/>
    <x v="1"/>
    <n v="6900"/>
    <n v="2005"/>
    <x v="0"/>
    <n v="0.29057971014492756"/>
  </r>
  <r>
    <n v="1346"/>
    <d v="2024-03-08T00:00:00"/>
    <x v="2"/>
    <x v="1"/>
    <s v="Headphones"/>
    <x v="1"/>
    <n v="4559"/>
    <n v="1177"/>
    <x v="9"/>
    <n v="0.2581706514586532"/>
  </r>
  <r>
    <n v="1347"/>
    <d v="2024-06-20T00:00:00"/>
    <x v="1"/>
    <x v="1"/>
    <s v="Mobile"/>
    <x v="0"/>
    <n v="12372"/>
    <n v="1472"/>
    <x v="10"/>
    <n v="0.11897833818299386"/>
  </r>
  <r>
    <n v="1348"/>
    <d v="2024-12-06T00:00:00"/>
    <x v="0"/>
    <x v="0"/>
    <s v="Table"/>
    <x v="0"/>
    <n v="8823"/>
    <n v="1689"/>
    <x v="1"/>
    <n v="0.19143148588915335"/>
  </r>
  <r>
    <n v="1349"/>
    <d v="2024-06-16T00:00:00"/>
    <x v="1"/>
    <x v="1"/>
    <s v="Mobile"/>
    <x v="0"/>
    <n v="16085"/>
    <n v="4636"/>
    <x v="10"/>
    <n v="0.28821883742617344"/>
  </r>
  <r>
    <n v="1350"/>
    <d v="2024-07-08T00:00:00"/>
    <x v="0"/>
    <x v="2"/>
    <s v="Jacket"/>
    <x v="0"/>
    <n v="11080"/>
    <n v="1395"/>
    <x v="5"/>
    <n v="0.12590252707581229"/>
  </r>
  <r>
    <n v="1351"/>
    <d v="2024-04-08T00:00:00"/>
    <x v="0"/>
    <x v="2"/>
    <s v="T-Shirt"/>
    <x v="3"/>
    <n v="14697"/>
    <n v="1180"/>
    <x v="0"/>
    <n v="8.0288494250527323E-2"/>
  </r>
  <r>
    <n v="1352"/>
    <d v="2024-11-27T00:00:00"/>
    <x v="2"/>
    <x v="0"/>
    <s v="Sofa"/>
    <x v="1"/>
    <n v="11506"/>
    <n v="-149"/>
    <x v="6"/>
    <n v="-1.2949765339822701E-2"/>
  </r>
  <r>
    <n v="1353"/>
    <d v="2024-12-20T00:00:00"/>
    <x v="2"/>
    <x v="0"/>
    <s v="Sofa"/>
    <x v="1"/>
    <n v="6173"/>
    <n v="406"/>
    <x v="1"/>
    <n v="6.5770289972460719E-2"/>
  </r>
  <r>
    <n v="1354"/>
    <d v="2024-04-18T00:00:00"/>
    <x v="2"/>
    <x v="1"/>
    <s v="Laptop"/>
    <x v="4"/>
    <n v="6566"/>
    <n v="170"/>
    <x v="0"/>
    <n v="2.5890953396283885E-2"/>
  </r>
  <r>
    <n v="1355"/>
    <d v="2024-01-12T00:00:00"/>
    <x v="2"/>
    <x v="2"/>
    <s v="T-Shirt"/>
    <x v="0"/>
    <n v="17049"/>
    <n v="3020"/>
    <x v="2"/>
    <n v="0.17713648894363307"/>
  </r>
  <r>
    <n v="1356"/>
    <d v="2024-10-26T00:00:00"/>
    <x v="1"/>
    <x v="0"/>
    <s v="Table"/>
    <x v="0"/>
    <n v="1391"/>
    <n v="-61"/>
    <x v="3"/>
    <n v="-4.3853342918763479E-2"/>
  </r>
  <r>
    <n v="1357"/>
    <d v="2024-03-08T00:00:00"/>
    <x v="1"/>
    <x v="0"/>
    <s v="Sofa"/>
    <x v="2"/>
    <n v="4192"/>
    <n v="567"/>
    <x v="9"/>
    <n v="0.13525763358778625"/>
  </r>
  <r>
    <n v="1358"/>
    <d v="2024-05-17T00:00:00"/>
    <x v="2"/>
    <x v="0"/>
    <s v="Chair"/>
    <x v="3"/>
    <n v="9945"/>
    <n v="1221"/>
    <x v="8"/>
    <n v="0.12277526395173453"/>
  </r>
  <r>
    <n v="1359"/>
    <d v="2024-02-15T00:00:00"/>
    <x v="2"/>
    <x v="2"/>
    <s v="T-Shirt"/>
    <x v="2"/>
    <n v="12930"/>
    <n v="4558"/>
    <x v="7"/>
    <n v="0.35251353441608663"/>
  </r>
  <r>
    <n v="1360"/>
    <d v="2024-09-04T00:00:00"/>
    <x v="0"/>
    <x v="1"/>
    <s v="Mobile"/>
    <x v="0"/>
    <n v="7986"/>
    <n v="2472"/>
    <x v="4"/>
    <n v="0.30954169797145004"/>
  </r>
  <r>
    <n v="1361"/>
    <d v="2024-11-16T00:00:00"/>
    <x v="0"/>
    <x v="2"/>
    <s v="T-Shirt"/>
    <x v="3"/>
    <n v="16093"/>
    <n v="3192"/>
    <x v="6"/>
    <n v="0.19834710743801653"/>
  </r>
  <r>
    <n v="1362"/>
    <d v="2024-05-15T00:00:00"/>
    <x v="1"/>
    <x v="1"/>
    <s v="Mobile"/>
    <x v="0"/>
    <n v="18630"/>
    <n v="4533"/>
    <x v="8"/>
    <n v="0.24331723027375202"/>
  </r>
  <r>
    <n v="1363"/>
    <d v="2024-01-25T00:00:00"/>
    <x v="0"/>
    <x v="2"/>
    <s v="Jeans"/>
    <x v="4"/>
    <n v="1760"/>
    <n v="62"/>
    <x v="2"/>
    <n v="3.5227272727272725E-2"/>
  </r>
  <r>
    <n v="1364"/>
    <d v="2024-05-08T00:00:00"/>
    <x v="2"/>
    <x v="1"/>
    <s v="Laptop"/>
    <x v="2"/>
    <n v="17617"/>
    <n v="547"/>
    <x v="8"/>
    <n v="3.1049554407674405E-2"/>
  </r>
  <r>
    <n v="1365"/>
    <d v="2024-04-18T00:00:00"/>
    <x v="2"/>
    <x v="2"/>
    <s v="Jacket"/>
    <x v="2"/>
    <n v="18057"/>
    <n v="4357"/>
    <x v="0"/>
    <n v="0.24129146591349615"/>
  </r>
  <r>
    <n v="1366"/>
    <d v="2024-05-13T00:00:00"/>
    <x v="2"/>
    <x v="1"/>
    <s v="Mobile"/>
    <x v="0"/>
    <n v="13446"/>
    <n v="2811"/>
    <x v="8"/>
    <n v="0.20905845604640785"/>
  </r>
  <r>
    <n v="1367"/>
    <d v="2024-08-14T00:00:00"/>
    <x v="2"/>
    <x v="0"/>
    <s v="Sofa"/>
    <x v="0"/>
    <n v="17096"/>
    <n v="6751"/>
    <x v="11"/>
    <n v="0.39488769302760879"/>
  </r>
  <r>
    <n v="1368"/>
    <d v="2024-10-13T00:00:00"/>
    <x v="0"/>
    <x v="1"/>
    <s v="Mobile"/>
    <x v="0"/>
    <n v="17892"/>
    <n v="4415"/>
    <x v="3"/>
    <n v="0.24675832774424325"/>
  </r>
  <r>
    <n v="1369"/>
    <d v="2024-07-22T00:00:00"/>
    <x v="0"/>
    <x v="2"/>
    <s v="Jacket"/>
    <x v="4"/>
    <n v="12402"/>
    <n v="3469"/>
    <x v="5"/>
    <n v="0.27971294952427028"/>
  </r>
  <r>
    <n v="1370"/>
    <d v="2024-10-18T00:00:00"/>
    <x v="2"/>
    <x v="0"/>
    <s v="Sofa"/>
    <x v="2"/>
    <n v="16781"/>
    <n v="1329"/>
    <x v="3"/>
    <n v="7.9196710565520523E-2"/>
  </r>
  <r>
    <n v="1371"/>
    <d v="2024-03-09T00:00:00"/>
    <x v="2"/>
    <x v="2"/>
    <s v="T-Shirt"/>
    <x v="1"/>
    <n v="19156"/>
    <n v="28"/>
    <x v="9"/>
    <n v="1.4616830235957402E-3"/>
  </r>
  <r>
    <n v="1372"/>
    <d v="2024-04-29T00:00:00"/>
    <x v="0"/>
    <x v="2"/>
    <s v="Jeans"/>
    <x v="1"/>
    <n v="17143"/>
    <n v="2230"/>
    <x v="0"/>
    <n v="0.13008224931458903"/>
  </r>
  <r>
    <n v="1373"/>
    <d v="2024-05-01T00:00:00"/>
    <x v="1"/>
    <x v="1"/>
    <s v="Headphones"/>
    <x v="1"/>
    <n v="14423"/>
    <n v="3490"/>
    <x v="8"/>
    <n v="0.24197462386466062"/>
  </r>
  <r>
    <n v="1374"/>
    <d v="2024-05-16T00:00:00"/>
    <x v="1"/>
    <x v="1"/>
    <s v="Headphones"/>
    <x v="2"/>
    <n v="19629"/>
    <n v="6629"/>
    <x v="8"/>
    <n v="0.33771460594019054"/>
  </r>
  <r>
    <n v="1375"/>
    <d v="2024-07-25T00:00:00"/>
    <x v="2"/>
    <x v="0"/>
    <s v="Table"/>
    <x v="3"/>
    <n v="16886"/>
    <n v="4421"/>
    <x v="5"/>
    <n v="0.2618145209048916"/>
  </r>
  <r>
    <n v="1376"/>
    <d v="2024-08-21T00:00:00"/>
    <x v="0"/>
    <x v="1"/>
    <s v="Headphones"/>
    <x v="4"/>
    <n v="1363"/>
    <n v="383"/>
    <x v="11"/>
    <n v="0.28099779897285398"/>
  </r>
  <r>
    <n v="1377"/>
    <d v="2024-10-03T00:00:00"/>
    <x v="0"/>
    <x v="2"/>
    <s v="T-Shirt"/>
    <x v="2"/>
    <n v="17312"/>
    <n v="2777"/>
    <x v="3"/>
    <n v="0.16040896487985212"/>
  </r>
  <r>
    <n v="1378"/>
    <d v="2024-07-23T00:00:00"/>
    <x v="2"/>
    <x v="1"/>
    <s v="Mobile"/>
    <x v="1"/>
    <n v="7496"/>
    <n v="1723"/>
    <x v="5"/>
    <n v="0.22985592315901815"/>
  </r>
  <r>
    <n v="1379"/>
    <d v="2024-04-03T00:00:00"/>
    <x v="1"/>
    <x v="2"/>
    <s v="Jacket"/>
    <x v="4"/>
    <n v="19896"/>
    <n v="4165"/>
    <x v="0"/>
    <n v="0.20933856051467631"/>
  </r>
  <r>
    <n v="1380"/>
    <d v="2024-06-20T00:00:00"/>
    <x v="0"/>
    <x v="2"/>
    <s v="Jeans"/>
    <x v="0"/>
    <n v="18879"/>
    <n v="2851"/>
    <x v="10"/>
    <n v="0.15101435457386514"/>
  </r>
  <r>
    <n v="1381"/>
    <d v="2024-02-28T00:00:00"/>
    <x v="0"/>
    <x v="1"/>
    <s v="Mobile"/>
    <x v="4"/>
    <n v="19135"/>
    <n v="5010"/>
    <x v="7"/>
    <n v="0.26182388293702641"/>
  </r>
  <r>
    <n v="1382"/>
    <d v="2024-03-07T00:00:00"/>
    <x v="2"/>
    <x v="1"/>
    <s v="Headphones"/>
    <x v="3"/>
    <n v="12028"/>
    <n v="4358"/>
    <x v="9"/>
    <n v="0.36232125041569668"/>
  </r>
  <r>
    <n v="1383"/>
    <d v="2024-08-04T00:00:00"/>
    <x v="1"/>
    <x v="2"/>
    <s v="Jacket"/>
    <x v="3"/>
    <n v="12793"/>
    <n v="2579"/>
    <x v="11"/>
    <n v="0.20159462205893849"/>
  </r>
  <r>
    <n v="1384"/>
    <d v="2024-05-14T00:00:00"/>
    <x v="2"/>
    <x v="2"/>
    <s v="Jeans"/>
    <x v="2"/>
    <n v="7144"/>
    <n v="943"/>
    <x v="8"/>
    <n v="0.13199888017917133"/>
  </r>
  <r>
    <n v="1385"/>
    <d v="2024-11-11T00:00:00"/>
    <x v="0"/>
    <x v="2"/>
    <s v="Jacket"/>
    <x v="3"/>
    <n v="4859"/>
    <n v="-209"/>
    <x v="6"/>
    <n v="-4.3012965630788227E-2"/>
  </r>
  <r>
    <n v="1386"/>
    <d v="2024-07-29T00:00:00"/>
    <x v="2"/>
    <x v="2"/>
    <s v="Jeans"/>
    <x v="2"/>
    <n v="17555"/>
    <n v="1981"/>
    <x v="5"/>
    <n v="0.11284534320706352"/>
  </r>
  <r>
    <n v="1387"/>
    <d v="2024-10-21T00:00:00"/>
    <x v="2"/>
    <x v="2"/>
    <s v="Jeans"/>
    <x v="1"/>
    <n v="16784"/>
    <n v="-383"/>
    <x v="3"/>
    <n v="-2.2819351763584367E-2"/>
  </r>
  <r>
    <n v="1388"/>
    <d v="2024-06-14T00:00:00"/>
    <x v="1"/>
    <x v="0"/>
    <s v="Chair"/>
    <x v="3"/>
    <n v="15284"/>
    <n v="5013"/>
    <x v="10"/>
    <n v="0.32799005495943473"/>
  </r>
  <r>
    <n v="1389"/>
    <d v="2024-01-20T00:00:00"/>
    <x v="2"/>
    <x v="0"/>
    <s v="Chair"/>
    <x v="1"/>
    <n v="3061"/>
    <n v="-123"/>
    <x v="2"/>
    <n v="-4.0182946749428294E-2"/>
  </r>
  <r>
    <n v="1390"/>
    <d v="2024-05-10T00:00:00"/>
    <x v="2"/>
    <x v="0"/>
    <s v="Table"/>
    <x v="3"/>
    <n v="15414"/>
    <n v="1112"/>
    <x v="8"/>
    <n v="7.2142208381990397E-2"/>
  </r>
  <r>
    <n v="1391"/>
    <d v="2024-05-19T00:00:00"/>
    <x v="2"/>
    <x v="2"/>
    <s v="Jeans"/>
    <x v="4"/>
    <n v="7535"/>
    <n v="2087"/>
    <x v="8"/>
    <n v="0.27697412076974121"/>
  </r>
  <r>
    <n v="1392"/>
    <d v="2024-12-22T00:00:00"/>
    <x v="0"/>
    <x v="1"/>
    <s v="Headphones"/>
    <x v="0"/>
    <n v="6563"/>
    <n v="927"/>
    <x v="1"/>
    <n v="0.14124638122809691"/>
  </r>
  <r>
    <n v="1393"/>
    <d v="2024-07-24T00:00:00"/>
    <x v="2"/>
    <x v="1"/>
    <s v="Headphones"/>
    <x v="1"/>
    <n v="11967"/>
    <n v="2531"/>
    <x v="5"/>
    <n v="0.21149828695579509"/>
  </r>
  <r>
    <n v="1394"/>
    <d v="2024-08-04T00:00:00"/>
    <x v="2"/>
    <x v="0"/>
    <s v="Sofa"/>
    <x v="2"/>
    <n v="19367"/>
    <n v="3611"/>
    <x v="11"/>
    <n v="0.18645117984199927"/>
  </r>
  <r>
    <n v="1395"/>
    <d v="2024-03-22T00:00:00"/>
    <x v="1"/>
    <x v="0"/>
    <s v="Table"/>
    <x v="2"/>
    <n v="4120"/>
    <n v="611"/>
    <x v="9"/>
    <n v="0.14830097087378641"/>
  </r>
  <r>
    <n v="1396"/>
    <d v="2024-04-14T00:00:00"/>
    <x v="2"/>
    <x v="2"/>
    <s v="Jeans"/>
    <x v="0"/>
    <n v="19158"/>
    <n v="2617"/>
    <x v="0"/>
    <n v="0.13660089779726484"/>
  </r>
  <r>
    <n v="1397"/>
    <d v="2024-07-11T00:00:00"/>
    <x v="0"/>
    <x v="0"/>
    <s v="Chair"/>
    <x v="1"/>
    <n v="16872"/>
    <n v="4267"/>
    <x v="5"/>
    <n v="0.25290422000948315"/>
  </r>
  <r>
    <n v="1398"/>
    <d v="2024-08-21T00:00:00"/>
    <x v="1"/>
    <x v="2"/>
    <s v="Jeans"/>
    <x v="3"/>
    <n v="18466"/>
    <n v="3495"/>
    <x v="11"/>
    <n v="0.18926676053287123"/>
  </r>
  <r>
    <n v="1399"/>
    <d v="2024-07-19T00:00:00"/>
    <x v="2"/>
    <x v="1"/>
    <s v="Headphones"/>
    <x v="0"/>
    <n v="19249"/>
    <n v="-14"/>
    <x v="5"/>
    <n v="-7.2731050963686429E-4"/>
  </r>
  <r>
    <n v="1400"/>
    <d v="2024-12-29T00:00:00"/>
    <x v="0"/>
    <x v="1"/>
    <s v="Mobile"/>
    <x v="3"/>
    <n v="15283"/>
    <n v="2934"/>
    <x v="1"/>
    <n v="0.191978014787672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4C7248-CF9F-456A-9BC8-FF75630CC7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7" firstHeaderRow="0" firstDataRow="1" firstDataCol="1"/>
  <pivotFields count="10">
    <pivotField showAll="0"/>
    <pivotField numFmtId="164" showAll="0"/>
    <pivotField showAll="0">
      <items count="4">
        <item x="0"/>
        <item x="1"/>
        <item x="2"/>
        <item t="default"/>
      </items>
    </pivotField>
    <pivotField axis="axisRow" showAll="0" sortType="descending">
      <items count="4">
        <item x="0"/>
        <item x="1"/>
        <item x="2"/>
        <item t="default"/>
      </items>
    </pivotField>
    <pivotField showAll="0"/>
    <pivotField showAll="0"/>
    <pivotField dataField="1" showAll="0"/>
    <pivotField showAll="0"/>
    <pivotField showAll="0">
      <items count="13">
        <item h="1" x="0"/>
        <item x="11"/>
        <item h="1" x="1"/>
        <item h="1" x="7"/>
        <item h="1" x="2"/>
        <item h="1" x="5"/>
        <item h="1" x="10"/>
        <item h="1" x="9"/>
        <item h="1" x="8"/>
        <item h="1" x="6"/>
        <item h="1" x="3"/>
        <item h="1" x="4"/>
        <item t="default"/>
      </items>
    </pivotField>
    <pivotField numFmtId="9" showAll="0"/>
  </pivotFields>
  <rowFields count="1">
    <field x="3"/>
  </rowFields>
  <rowItems count="4">
    <i>
      <x/>
    </i>
    <i>
      <x v="1"/>
    </i>
    <i>
      <x v="2"/>
    </i>
    <i t="grand">
      <x/>
    </i>
  </rowItems>
  <colFields count="1">
    <field x="-2"/>
  </colFields>
  <colItems count="2">
    <i>
      <x/>
    </i>
    <i i="1">
      <x v="1"/>
    </i>
  </colItems>
  <dataFields count="2">
    <dataField name="% of Grand Total" fld="6" showDataAs="percentOfTotal" baseField="3" baseItem="0" numFmtId="10"/>
    <dataField name="Sum of Revenue" fld="6" baseField="0" baseItem="0"/>
  </dataFields>
  <chartFormats count="6">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F2B16C-C578-4FD0-8E3E-DC88613522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D7" firstHeaderRow="0" firstDataRow="1" firstDataCol="1"/>
  <pivotFields count="10">
    <pivotField showAll="0"/>
    <pivotField numFmtId="164" showAll="0"/>
    <pivotField showAll="0">
      <items count="4">
        <item x="0"/>
        <item x="1"/>
        <item x="2"/>
        <item t="default"/>
      </items>
    </pivotField>
    <pivotField axis="axisRow" showAll="0">
      <items count="4">
        <item x="2"/>
        <item x="1"/>
        <item x="0"/>
        <item t="default"/>
      </items>
    </pivotField>
    <pivotField showAll="0"/>
    <pivotField showAll="0"/>
    <pivotField showAll="0"/>
    <pivotField dataField="1" showAll="0"/>
    <pivotField showAll="0">
      <items count="13">
        <item h="1" x="0"/>
        <item x="11"/>
        <item h="1" x="1"/>
        <item h="1" x="7"/>
        <item h="1" x="2"/>
        <item h="1" x="5"/>
        <item h="1" x="10"/>
        <item h="1" x="9"/>
        <item h="1" x="8"/>
        <item h="1" x="6"/>
        <item h="1" x="3"/>
        <item h="1" x="4"/>
        <item t="default"/>
      </items>
    </pivotField>
    <pivotField dataField="1" numFmtId="9" showAll="0"/>
  </pivotFields>
  <rowFields count="1">
    <field x="3"/>
  </rowFields>
  <rowItems count="4">
    <i>
      <x/>
    </i>
    <i>
      <x v="1"/>
    </i>
    <i>
      <x v="2"/>
    </i>
    <i t="grand">
      <x/>
    </i>
  </rowItems>
  <colFields count="1">
    <field x="-2"/>
  </colFields>
  <colItems count="3">
    <i>
      <x/>
    </i>
    <i i="1">
      <x v="1"/>
    </i>
    <i i="2">
      <x v="2"/>
    </i>
  </colItems>
  <dataFields count="3">
    <dataField name="Sum of Profit" fld="7" baseField="0" baseItem="0"/>
    <dataField name="Average of Profit Margin %" fld="9" subtotal="average" baseField="3" baseItem="0" numFmtId="9"/>
    <dataField name="Sum of Profit Margin %" fld="9" baseField="0" baseItem="0" numFmtId="9"/>
  </dataFields>
  <chartFormats count="12">
    <chartFormat chart="36" format="6" series="1">
      <pivotArea type="data" outline="0" fieldPosition="0">
        <references count="1">
          <reference field="4294967294" count="1" selected="0">
            <x v="0"/>
          </reference>
        </references>
      </pivotArea>
    </chartFormat>
    <chartFormat chart="36" format="7">
      <pivotArea type="data" outline="0" fieldPosition="0">
        <references count="2">
          <reference field="4294967294" count="1" selected="0">
            <x v="0"/>
          </reference>
          <reference field="3" count="1" selected="0">
            <x v="1"/>
          </reference>
        </references>
      </pivotArea>
    </chartFormat>
    <chartFormat chart="36" format="8" series="1">
      <pivotArea type="data" outline="0" fieldPosition="0">
        <references count="1">
          <reference field="4294967294" count="1" selected="0">
            <x v="1"/>
          </reference>
        </references>
      </pivotArea>
    </chartFormat>
    <chartFormat chart="36" format="9">
      <pivotArea type="data" outline="0" fieldPosition="0">
        <references count="2">
          <reference field="4294967294" count="1" selected="0">
            <x v="1"/>
          </reference>
          <reference field="3" count="1" selected="0">
            <x v="1"/>
          </reference>
        </references>
      </pivotArea>
    </chartFormat>
    <chartFormat chart="36" format="10" series="1">
      <pivotArea type="data" outline="0" fieldPosition="0">
        <references count="1">
          <reference field="4294967294" count="1" selected="0">
            <x v="2"/>
          </reference>
        </references>
      </pivotArea>
    </chartFormat>
    <chartFormat chart="36" format="11">
      <pivotArea type="data" outline="0" fieldPosition="0">
        <references count="2">
          <reference field="4294967294" count="1" selected="0">
            <x v="0"/>
          </reference>
          <reference field="3" count="1" selected="0">
            <x v="0"/>
          </reference>
        </references>
      </pivotArea>
    </chartFormat>
    <chartFormat chart="36" format="12">
      <pivotArea type="data" outline="0" fieldPosition="0">
        <references count="2">
          <reference field="4294967294" count="1" selected="0">
            <x v="0"/>
          </reference>
          <reference field="3" count="1" selected="0">
            <x v="2"/>
          </reference>
        </references>
      </pivotArea>
    </chartFormat>
    <chartFormat chart="36" format="13">
      <pivotArea type="data" outline="0" fieldPosition="0">
        <references count="2">
          <reference field="4294967294" count="1" selected="0">
            <x v="1"/>
          </reference>
          <reference field="3" count="1" selected="0">
            <x v="0"/>
          </reference>
        </references>
      </pivotArea>
    </chartFormat>
    <chartFormat chart="36" format="14">
      <pivotArea type="data" outline="0" fieldPosition="0">
        <references count="2">
          <reference field="4294967294" count="1" selected="0">
            <x v="1"/>
          </reference>
          <reference field="3" count="1" selected="0">
            <x v="2"/>
          </reference>
        </references>
      </pivotArea>
    </chartFormat>
    <chartFormat chart="36" format="15">
      <pivotArea type="data" outline="0" fieldPosition="0">
        <references count="2">
          <reference field="4294967294" count="1" selected="0">
            <x v="2"/>
          </reference>
          <reference field="3" count="1" selected="0">
            <x v="0"/>
          </reference>
        </references>
      </pivotArea>
    </chartFormat>
    <chartFormat chart="36" format="16">
      <pivotArea type="data" outline="0" fieldPosition="0">
        <references count="2">
          <reference field="4294967294" count="1" selected="0">
            <x v="2"/>
          </reference>
          <reference field="3" count="1" selected="0">
            <x v="1"/>
          </reference>
        </references>
      </pivotArea>
    </chartFormat>
    <chartFormat chart="36" format="17">
      <pivotArea type="data" outline="0" fieldPosition="0">
        <references count="2">
          <reference field="4294967294" count="1" selected="0">
            <x v="2"/>
          </reference>
          <reference field="3"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A3601C-C382-444D-9704-8D91AFC98B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M10" firstHeaderRow="1" firstDataRow="3" firstDataCol="1"/>
  <pivotFields count="10">
    <pivotField showAll="0"/>
    <pivotField numFmtId="164" showAll="0"/>
    <pivotField axis="axisRow" showAll="0">
      <items count="4">
        <item x="0"/>
        <item x="1"/>
        <item x="2"/>
        <item t="default"/>
      </items>
    </pivotField>
    <pivotField showAll="0">
      <items count="4">
        <item x="2"/>
        <item x="1"/>
        <item x="0"/>
        <item t="default"/>
      </items>
    </pivotField>
    <pivotField showAll="0"/>
    <pivotField axis="axisCol" showAll="0">
      <items count="6">
        <item x="4"/>
        <item x="2"/>
        <item x="3"/>
        <item x="0"/>
        <item x="1"/>
        <item t="default"/>
      </items>
    </pivotField>
    <pivotField dataField="1" showAll="0"/>
    <pivotField showAll="0"/>
    <pivotField axis="axisRow" showAll="0" sortType="ascending">
      <items count="13">
        <item h="1" x="0"/>
        <item x="11"/>
        <item h="1" x="1"/>
        <item h="1" x="7"/>
        <item h="1" x="2"/>
        <item h="1" x="5"/>
        <item h="1" x="10"/>
        <item h="1" x="9"/>
        <item h="1" x="8"/>
        <item h="1" x="6"/>
        <item h="1" x="3"/>
        <item h="1" x="4"/>
        <item t="default"/>
      </items>
    </pivotField>
    <pivotField numFmtId="9" showAll="0"/>
  </pivotFields>
  <rowFields count="2">
    <field x="8"/>
    <field x="2"/>
  </rowFields>
  <rowItems count="5">
    <i>
      <x v="1"/>
    </i>
    <i r="1">
      <x/>
    </i>
    <i r="1">
      <x v="1"/>
    </i>
    <i r="1">
      <x v="2"/>
    </i>
    <i t="grand">
      <x/>
    </i>
  </rowItems>
  <colFields count="2">
    <field x="-2"/>
    <field x="5"/>
  </colFields>
  <colItems count="12">
    <i>
      <x/>
      <x/>
    </i>
    <i r="1">
      <x v="1"/>
    </i>
    <i r="1">
      <x v="2"/>
    </i>
    <i r="1">
      <x v="3"/>
    </i>
    <i r="1">
      <x v="4"/>
    </i>
    <i i="1">
      <x v="1"/>
      <x/>
    </i>
    <i r="1" i="1">
      <x v="1"/>
    </i>
    <i r="1" i="1">
      <x v="2"/>
    </i>
    <i r="1" i="1">
      <x v="3"/>
    </i>
    <i r="1" i="1">
      <x v="4"/>
    </i>
    <i t="grand">
      <x/>
    </i>
    <i t="grand" i="1">
      <x/>
    </i>
  </colItems>
  <dataFields count="2">
    <dataField name="Sum of Revenue" fld="6" baseField="8" baseItem="1" numFmtId="165"/>
    <dataField name="Difference" fld="6" showDataAs="percentDiff" baseField="8" baseItem="9" numFmtId="9"/>
  </dataFields>
  <chartFormats count="20">
    <chartFormat chart="20" format="20" series="1">
      <pivotArea type="data" outline="0" fieldPosition="0">
        <references count="2">
          <reference field="4294967294" count="1" selected="0">
            <x v="0"/>
          </reference>
          <reference field="5" count="1" selected="0">
            <x v="0"/>
          </reference>
        </references>
      </pivotArea>
    </chartFormat>
    <chartFormat chart="20" format="21" series="1">
      <pivotArea type="data" outline="0" fieldPosition="0">
        <references count="2">
          <reference field="4294967294" count="1" selected="0">
            <x v="0"/>
          </reference>
          <reference field="5" count="1" selected="0">
            <x v="1"/>
          </reference>
        </references>
      </pivotArea>
    </chartFormat>
    <chartFormat chart="20" format="22" series="1">
      <pivotArea type="data" outline="0" fieldPosition="0">
        <references count="2">
          <reference field="4294967294" count="1" selected="0">
            <x v="0"/>
          </reference>
          <reference field="5" count="1" selected="0">
            <x v="2"/>
          </reference>
        </references>
      </pivotArea>
    </chartFormat>
    <chartFormat chart="20" format="23" series="1">
      <pivotArea type="data" outline="0" fieldPosition="0">
        <references count="2">
          <reference field="4294967294" count="1" selected="0">
            <x v="0"/>
          </reference>
          <reference field="5" count="1" selected="0">
            <x v="3"/>
          </reference>
        </references>
      </pivotArea>
    </chartFormat>
    <chartFormat chart="20" format="24" series="1">
      <pivotArea type="data" outline="0" fieldPosition="0">
        <references count="2">
          <reference field="4294967294" count="1" selected="0">
            <x v="0"/>
          </reference>
          <reference field="5" count="1" selected="0">
            <x v="4"/>
          </reference>
        </references>
      </pivotArea>
    </chartFormat>
    <chartFormat chart="20" format="25" series="1">
      <pivotArea type="data" outline="0" fieldPosition="0">
        <references count="2">
          <reference field="4294967294" count="1" selected="0">
            <x v="1"/>
          </reference>
          <reference field="5" count="1" selected="0">
            <x v="0"/>
          </reference>
        </references>
      </pivotArea>
    </chartFormat>
    <chartFormat chart="20" format="26" series="1">
      <pivotArea type="data" outline="0" fieldPosition="0">
        <references count="2">
          <reference field="4294967294" count="1" selected="0">
            <x v="1"/>
          </reference>
          <reference field="5" count="1" selected="0">
            <x v="1"/>
          </reference>
        </references>
      </pivotArea>
    </chartFormat>
    <chartFormat chart="20" format="27" series="1">
      <pivotArea type="data" outline="0" fieldPosition="0">
        <references count="2">
          <reference field="4294967294" count="1" selected="0">
            <x v="1"/>
          </reference>
          <reference field="5" count="1" selected="0">
            <x v="2"/>
          </reference>
        </references>
      </pivotArea>
    </chartFormat>
    <chartFormat chart="20" format="28" series="1">
      <pivotArea type="data" outline="0" fieldPosition="0">
        <references count="2">
          <reference field="4294967294" count="1" selected="0">
            <x v="1"/>
          </reference>
          <reference field="5" count="1" selected="0">
            <x v="3"/>
          </reference>
        </references>
      </pivotArea>
    </chartFormat>
    <chartFormat chart="20" format="29" series="1">
      <pivotArea type="data" outline="0" fieldPosition="0">
        <references count="2">
          <reference field="4294967294" count="1" selected="0">
            <x v="1"/>
          </reference>
          <reference field="5" count="1" selected="0">
            <x v="4"/>
          </reference>
        </references>
      </pivotArea>
    </chartFormat>
    <chartFormat chart="23" format="20" series="1">
      <pivotArea type="data" outline="0" fieldPosition="0">
        <references count="2">
          <reference field="4294967294" count="1" selected="0">
            <x v="0"/>
          </reference>
          <reference field="5" count="1" selected="0">
            <x v="0"/>
          </reference>
        </references>
      </pivotArea>
    </chartFormat>
    <chartFormat chart="23" format="21" series="1">
      <pivotArea type="data" outline="0" fieldPosition="0">
        <references count="2">
          <reference field="4294967294" count="1" selected="0">
            <x v="0"/>
          </reference>
          <reference field="5" count="1" selected="0">
            <x v="1"/>
          </reference>
        </references>
      </pivotArea>
    </chartFormat>
    <chartFormat chart="23" format="22" series="1">
      <pivotArea type="data" outline="0" fieldPosition="0">
        <references count="2">
          <reference field="4294967294" count="1" selected="0">
            <x v="0"/>
          </reference>
          <reference field="5" count="1" selected="0">
            <x v="2"/>
          </reference>
        </references>
      </pivotArea>
    </chartFormat>
    <chartFormat chart="23" format="23" series="1">
      <pivotArea type="data" outline="0" fieldPosition="0">
        <references count="2">
          <reference field="4294967294" count="1" selected="0">
            <x v="0"/>
          </reference>
          <reference field="5" count="1" selected="0">
            <x v="3"/>
          </reference>
        </references>
      </pivotArea>
    </chartFormat>
    <chartFormat chart="23" format="24" series="1">
      <pivotArea type="data" outline="0" fieldPosition="0">
        <references count="2">
          <reference field="4294967294" count="1" selected="0">
            <x v="0"/>
          </reference>
          <reference field="5" count="1" selected="0">
            <x v="4"/>
          </reference>
        </references>
      </pivotArea>
    </chartFormat>
    <chartFormat chart="23" format="25" series="1">
      <pivotArea type="data" outline="0" fieldPosition="0">
        <references count="2">
          <reference field="4294967294" count="1" selected="0">
            <x v="1"/>
          </reference>
          <reference field="5" count="1" selected="0">
            <x v="0"/>
          </reference>
        </references>
      </pivotArea>
    </chartFormat>
    <chartFormat chart="23" format="26" series="1">
      <pivotArea type="data" outline="0" fieldPosition="0">
        <references count="2">
          <reference field="4294967294" count="1" selected="0">
            <x v="1"/>
          </reference>
          <reference field="5" count="1" selected="0">
            <x v="1"/>
          </reference>
        </references>
      </pivotArea>
    </chartFormat>
    <chartFormat chart="23" format="27" series="1">
      <pivotArea type="data" outline="0" fieldPosition="0">
        <references count="2">
          <reference field="4294967294" count="1" selected="0">
            <x v="1"/>
          </reference>
          <reference field="5" count="1" selected="0">
            <x v="2"/>
          </reference>
        </references>
      </pivotArea>
    </chartFormat>
    <chartFormat chart="23" format="28" series="1">
      <pivotArea type="data" outline="0" fieldPosition="0">
        <references count="2">
          <reference field="4294967294" count="1" selected="0">
            <x v="1"/>
          </reference>
          <reference field="5" count="1" selected="0">
            <x v="3"/>
          </reference>
        </references>
      </pivotArea>
    </chartFormat>
    <chartFormat chart="23" format="29" series="1">
      <pivotArea type="data" outline="0" fieldPosition="0">
        <references count="2">
          <reference field="4294967294" count="1" selected="0">
            <x v="1"/>
          </reference>
          <reference field="5"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CEBFAE-36C3-4D9F-B109-31A73D4669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C7" firstHeaderRow="0" firstDataRow="1" firstDataCol="1"/>
  <pivotFields count="10">
    <pivotField showAll="0"/>
    <pivotField numFmtId="164" showAll="0"/>
    <pivotField showAll="0">
      <items count="4">
        <item x="0"/>
        <item x="1"/>
        <item x="2"/>
        <item t="default"/>
      </items>
    </pivotField>
    <pivotField axis="axisRow" showAll="0">
      <items count="4">
        <item x="2"/>
        <item x="1"/>
        <item x="0"/>
        <item t="default"/>
      </items>
    </pivotField>
    <pivotField showAll="0"/>
    <pivotField showAll="0"/>
    <pivotField showAll="0"/>
    <pivotField dataField="1" showAll="0"/>
    <pivotField showAll="0">
      <items count="13">
        <item h="1" x="0"/>
        <item x="11"/>
        <item h="1" x="1"/>
        <item h="1" x="7"/>
        <item h="1" x="2"/>
        <item h="1" x="5"/>
        <item h="1" x="10"/>
        <item h="1" x="9"/>
        <item h="1" x="8"/>
        <item h="1" x="6"/>
        <item h="1" x="3"/>
        <item h="1" x="4"/>
        <item t="default"/>
      </items>
    </pivotField>
    <pivotField dataField="1" numFmtId="9" showAll="0"/>
  </pivotFields>
  <rowFields count="1">
    <field x="3"/>
  </rowFields>
  <rowItems count="4">
    <i>
      <x/>
    </i>
    <i>
      <x v="1"/>
    </i>
    <i>
      <x v="2"/>
    </i>
    <i t="grand">
      <x/>
    </i>
  </rowItems>
  <colFields count="1">
    <field x="-2"/>
  </colFields>
  <colItems count="2">
    <i>
      <x/>
    </i>
    <i i="1">
      <x v="1"/>
    </i>
  </colItems>
  <dataFields count="2">
    <dataField name="Sum of Profit" fld="7" baseField="0" baseItem="0"/>
    <dataField name="Average of Profit Margin %" fld="9" subtotal="average" baseField="3" baseItem="0" numFmtId="9"/>
  </dataFields>
  <chartFormats count="10">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3" count="1" selected="0">
            <x v="1"/>
          </reference>
        </references>
      </pivotArea>
    </chartFormat>
    <chartFormat chart="34" format="4" series="1">
      <pivotArea type="data" outline="0" fieldPosition="0">
        <references count="1">
          <reference field="4294967294" count="1" selected="0">
            <x v="1"/>
          </reference>
        </references>
      </pivotArea>
    </chartFormat>
    <chartFormat chart="34" format="5">
      <pivotArea type="data" outline="0" fieldPosition="0">
        <references count="2">
          <reference field="4294967294" count="1" selected="0">
            <x v="1"/>
          </reference>
          <reference field="3" count="1" selected="0">
            <x v="1"/>
          </reference>
        </references>
      </pivotArea>
    </chartFormat>
    <chartFormat chart="34" format="6">
      <pivotArea type="data" outline="0" fieldPosition="0">
        <references count="2">
          <reference field="4294967294" count="1" selected="0">
            <x v="0"/>
          </reference>
          <reference field="3" count="1" selected="0">
            <x v="0"/>
          </reference>
        </references>
      </pivotArea>
    </chartFormat>
    <chartFormat chart="34" format="7">
      <pivotArea type="data" outline="0" fieldPosition="0">
        <references count="2">
          <reference field="4294967294" count="1" selected="0">
            <x v="0"/>
          </reference>
          <reference field="3" count="1" selected="0">
            <x v="2"/>
          </reference>
        </references>
      </pivotArea>
    </chartFormat>
    <chartFormat chart="34" format="8">
      <pivotArea type="data" outline="0" fieldPosition="0">
        <references count="2">
          <reference field="4294967294" count="1" selected="0">
            <x v="1"/>
          </reference>
          <reference field="3" count="1" selected="0">
            <x v="0"/>
          </reference>
        </references>
      </pivotArea>
    </chartFormat>
    <chartFormat chart="34" format="9">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1A8B48-D449-44E0-81E8-9D992E679DED}" sourceName="Category">
  <pivotTables>
    <pivotTable tabId="5" name="PivotTable3"/>
    <pivotTable tabId="4" name="PivotTable2"/>
    <pivotTable tabId="2" name="PivotTable1"/>
    <pivotTable tabId="7" name="PivotTable2"/>
  </pivotTables>
  <data>
    <tabular pivotCacheId="22539417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5C191E9-8784-4C46-9CBE-599E6BB340F1}" sourceName="Month">
  <pivotTables>
    <pivotTable tabId="5" name="PivotTable3"/>
    <pivotTable tabId="4" name="PivotTable2"/>
    <pivotTable tabId="2" name="PivotTable1"/>
    <pivotTable tabId="7" name="PivotTable2"/>
  </pivotTables>
  <data>
    <tabular pivotCacheId="225394176">
      <items count="12">
        <i x="0"/>
        <i x="11" s="1"/>
        <i x="1"/>
        <i x="7"/>
        <i x="2"/>
        <i x="5"/>
        <i x="10"/>
        <i x="9"/>
        <i x="8"/>
        <i x="6"/>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B37207-6B6D-4AE9-8A79-2D0782BF6A15}" sourceName="Region">
  <pivotTables>
    <pivotTable tabId="5" name="PivotTable3"/>
    <pivotTable tabId="4" name="PivotTable2"/>
    <pivotTable tabId="2" name="PivotTable1"/>
    <pivotTable tabId="7" name="PivotTable2"/>
  </pivotTables>
  <data>
    <tabular pivotCacheId="2253941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56ED635-7269-4E99-A19E-D88A3A740357}" cache="Slicer_Category" caption="Category" style="SlicerStyleLight6" rowHeight="234950"/>
  <slicer name="Month" xr10:uid="{01B720CD-A491-4979-ADD8-F8CB8512028A}" cache="Slicer_Month" caption="Month" style="SlicerStyleLight6" rowHeight="234950"/>
  <slicer name="Region" xr10:uid="{C91B7FB3-49C2-4A2B-87A6-28DAAAF13EC2}" cache="Slicer_Region" caption="Region"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A696B-0153-4D67-9D27-237DC687DC75}">
  <dimension ref="A3:F7"/>
  <sheetViews>
    <sheetView workbookViewId="0">
      <selection activeCell="B3" sqref="B3"/>
    </sheetView>
  </sheetViews>
  <sheetFormatPr defaultRowHeight="14.4" x14ac:dyDescent="0.3"/>
  <cols>
    <col min="1" max="1" width="12.5546875" bestFit="1" customWidth="1"/>
    <col min="2" max="2" width="15" bestFit="1" customWidth="1"/>
    <col min="3" max="3" width="14.88671875" bestFit="1" customWidth="1"/>
  </cols>
  <sheetData>
    <row r="3" spans="1:6" x14ac:dyDescent="0.3">
      <c r="A3" s="3" t="s">
        <v>26</v>
      </c>
      <c r="B3" t="s">
        <v>28</v>
      </c>
      <c r="C3" t="s">
        <v>25</v>
      </c>
    </row>
    <row r="4" spans="1:6" x14ac:dyDescent="0.3">
      <c r="A4" s="4" t="s">
        <v>9</v>
      </c>
      <c r="B4" s="6">
        <v>0.35966332304652537</v>
      </c>
      <c r="C4" s="9">
        <v>147080</v>
      </c>
    </row>
    <row r="5" spans="1:6" x14ac:dyDescent="0.3">
      <c r="A5" s="4" t="s">
        <v>11</v>
      </c>
      <c r="B5" s="6">
        <v>0.30579452141889479</v>
      </c>
      <c r="C5" s="9">
        <v>125051</v>
      </c>
    </row>
    <row r="6" spans="1:6" x14ac:dyDescent="0.3">
      <c r="A6" s="4" t="s">
        <v>15</v>
      </c>
      <c r="B6" s="6">
        <v>0.33454215553457983</v>
      </c>
      <c r="C6" s="9">
        <v>136807</v>
      </c>
    </row>
    <row r="7" spans="1:6" x14ac:dyDescent="0.3">
      <c r="A7" s="4" t="s">
        <v>27</v>
      </c>
      <c r="B7" s="6">
        <v>1</v>
      </c>
      <c r="C7" s="9">
        <v>408938</v>
      </c>
      <c r="F7">
        <v>924735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2935F-D64B-4EE0-9450-89722C94B546}">
  <dimension ref="A3:D10"/>
  <sheetViews>
    <sheetView workbookViewId="0">
      <selection activeCell="G5" sqref="G5"/>
    </sheetView>
  </sheetViews>
  <sheetFormatPr defaultRowHeight="14.4" x14ac:dyDescent="0.3"/>
  <cols>
    <col min="1" max="1" width="12.5546875" bestFit="1" customWidth="1"/>
    <col min="2" max="2" width="12.109375" bestFit="1" customWidth="1"/>
    <col min="3" max="3" width="23.88671875" bestFit="1" customWidth="1"/>
    <col min="4" max="4" width="20.6640625" bestFit="1" customWidth="1"/>
  </cols>
  <sheetData>
    <row r="3" spans="1:4" x14ac:dyDescent="0.3">
      <c r="A3" s="3" t="s">
        <v>26</v>
      </c>
      <c r="B3" t="s">
        <v>29</v>
      </c>
      <c r="C3" t="s">
        <v>31</v>
      </c>
      <c r="D3" t="s">
        <v>30</v>
      </c>
    </row>
    <row r="4" spans="1:4" x14ac:dyDescent="0.3">
      <c r="A4" s="4" t="s">
        <v>15</v>
      </c>
      <c r="B4" s="9">
        <v>27777</v>
      </c>
      <c r="C4" s="5">
        <v>0.20969172163450997</v>
      </c>
      <c r="D4" s="5">
        <v>2.5163006596141195</v>
      </c>
    </row>
    <row r="5" spans="1:4" x14ac:dyDescent="0.3">
      <c r="A5" s="4" t="s">
        <v>11</v>
      </c>
      <c r="B5" s="9">
        <v>27405</v>
      </c>
      <c r="C5" s="5">
        <v>0.1797020108227613</v>
      </c>
      <c r="D5" s="5">
        <v>2.3361261406958969</v>
      </c>
    </row>
    <row r="6" spans="1:4" x14ac:dyDescent="0.3">
      <c r="A6" s="4" t="s">
        <v>9</v>
      </c>
      <c r="B6" s="9">
        <v>34219</v>
      </c>
      <c r="C6" s="5">
        <v>0.23833164114787334</v>
      </c>
      <c r="D6" s="5">
        <v>2.6216480526266066</v>
      </c>
    </row>
    <row r="7" spans="1:4" x14ac:dyDescent="0.3">
      <c r="A7" s="4" t="s">
        <v>27</v>
      </c>
      <c r="B7" s="9">
        <v>89401</v>
      </c>
      <c r="C7" s="5">
        <v>0.20761319035935052</v>
      </c>
      <c r="D7" s="5">
        <v>7.474074852936619</v>
      </c>
    </row>
    <row r="9" spans="1:4" x14ac:dyDescent="0.3">
      <c r="B9">
        <v>122627</v>
      </c>
    </row>
    <row r="10" spans="1:4" x14ac:dyDescent="0.3">
      <c r="B10">
        <v>122627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D9E3-BFCD-4EF9-ADFC-A20DA3BC7ADE}">
  <dimension ref="A3:M10"/>
  <sheetViews>
    <sheetView workbookViewId="0">
      <selection activeCell="L24" sqref="L24"/>
    </sheetView>
  </sheetViews>
  <sheetFormatPr defaultRowHeight="14.4" x14ac:dyDescent="0.3"/>
  <cols>
    <col min="1" max="1" width="12.5546875" bestFit="1" customWidth="1"/>
    <col min="2" max="2" width="15.5546875" bestFit="1" customWidth="1"/>
    <col min="3" max="5" width="8" bestFit="1" customWidth="1"/>
    <col min="6" max="6" width="9.5546875" bestFit="1" customWidth="1"/>
    <col min="7" max="7" width="9.6640625" bestFit="1" customWidth="1"/>
    <col min="8" max="11" width="5.44140625" bestFit="1" customWidth="1"/>
    <col min="12" max="12" width="19.6640625" bestFit="1" customWidth="1"/>
    <col min="13" max="13" width="14.44140625" bestFit="1" customWidth="1"/>
  </cols>
  <sheetData>
    <row r="3" spans="1:13" x14ac:dyDescent="0.3">
      <c r="B3" s="3" t="s">
        <v>33</v>
      </c>
    </row>
    <row r="4" spans="1:13" x14ac:dyDescent="0.3">
      <c r="B4" t="s">
        <v>25</v>
      </c>
      <c r="G4" t="s">
        <v>32</v>
      </c>
      <c r="L4" t="s">
        <v>34</v>
      </c>
      <c r="M4" t="s">
        <v>35</v>
      </c>
    </row>
    <row r="5" spans="1:13" x14ac:dyDescent="0.3">
      <c r="A5" s="3" t="s">
        <v>26</v>
      </c>
      <c r="B5">
        <v>1</v>
      </c>
      <c r="C5">
        <v>2</v>
      </c>
      <c r="D5">
        <v>3</v>
      </c>
      <c r="E5">
        <v>4</v>
      </c>
      <c r="F5">
        <v>5</v>
      </c>
      <c r="G5">
        <v>1</v>
      </c>
      <c r="H5">
        <v>2</v>
      </c>
      <c r="I5">
        <v>3</v>
      </c>
      <c r="J5">
        <v>4</v>
      </c>
      <c r="K5">
        <v>5</v>
      </c>
    </row>
    <row r="6" spans="1:13" x14ac:dyDescent="0.3">
      <c r="A6" s="4" t="s">
        <v>36</v>
      </c>
      <c r="B6" s="7">
        <v>84570</v>
      </c>
      <c r="C6" s="7">
        <v>68492</v>
      </c>
      <c r="D6" s="7">
        <v>44437</v>
      </c>
      <c r="E6" s="7">
        <v>85555</v>
      </c>
      <c r="F6" s="7">
        <v>125884</v>
      </c>
      <c r="G6" s="5" t="e">
        <v>#N/A</v>
      </c>
      <c r="H6" s="5" t="e">
        <v>#N/A</v>
      </c>
      <c r="I6" s="5" t="e">
        <v>#N/A</v>
      </c>
      <c r="J6" s="5" t="e">
        <v>#N/A</v>
      </c>
      <c r="K6" s="5" t="e">
        <v>#N/A</v>
      </c>
      <c r="L6" s="7">
        <v>408938</v>
      </c>
      <c r="M6" s="5" t="e">
        <v>#N/A</v>
      </c>
    </row>
    <row r="7" spans="1:13" x14ac:dyDescent="0.3">
      <c r="A7" s="8" t="s">
        <v>8</v>
      </c>
      <c r="B7" s="7">
        <v>29097</v>
      </c>
      <c r="C7" s="7">
        <v>36242</v>
      </c>
      <c r="D7" s="7">
        <v>10069</v>
      </c>
      <c r="E7" s="7">
        <v>47022</v>
      </c>
      <c r="F7" s="7">
        <v>40625</v>
      </c>
      <c r="G7" s="5" t="e">
        <v>#N/A</v>
      </c>
      <c r="H7" s="5" t="e">
        <v>#N/A</v>
      </c>
      <c r="I7" s="5" t="e">
        <v>#N/A</v>
      </c>
      <c r="J7" s="5" t="e">
        <v>#N/A</v>
      </c>
      <c r="K7" s="5" t="e">
        <v>#N/A</v>
      </c>
      <c r="L7" s="7">
        <v>163055</v>
      </c>
      <c r="M7" s="5" t="e">
        <v>#N/A</v>
      </c>
    </row>
    <row r="8" spans="1:13" x14ac:dyDescent="0.3">
      <c r="A8" s="8" t="s">
        <v>13</v>
      </c>
      <c r="B8" s="7">
        <v>17143</v>
      </c>
      <c r="C8" s="7">
        <v>3166</v>
      </c>
      <c r="D8" s="7">
        <v>34368</v>
      </c>
      <c r="E8" s="7">
        <v>15697</v>
      </c>
      <c r="F8" s="7">
        <v>68471</v>
      </c>
      <c r="G8" s="5" t="e">
        <v>#N/A</v>
      </c>
      <c r="H8" s="5" t="e">
        <v>#N/A</v>
      </c>
      <c r="I8" s="5" t="e">
        <v>#N/A</v>
      </c>
      <c r="J8" s="5" t="e">
        <v>#N/A</v>
      </c>
      <c r="K8" s="5" t="e">
        <v>#N/A</v>
      </c>
      <c r="L8" s="7">
        <v>138845</v>
      </c>
      <c r="M8" s="5" t="e">
        <v>#N/A</v>
      </c>
    </row>
    <row r="9" spans="1:13" x14ac:dyDescent="0.3">
      <c r="A9" s="8" t="s">
        <v>18</v>
      </c>
      <c r="B9" s="7">
        <v>38330</v>
      </c>
      <c r="C9" s="7">
        <v>29084</v>
      </c>
      <c r="D9" s="7"/>
      <c r="E9" s="7">
        <v>22836</v>
      </c>
      <c r="F9" s="7">
        <v>16788</v>
      </c>
      <c r="G9" s="5" t="e">
        <v>#N/A</v>
      </c>
      <c r="H9" s="5" t="e">
        <v>#N/A</v>
      </c>
      <c r="I9" s="5" t="e">
        <v>#N/A</v>
      </c>
      <c r="J9" s="5" t="e">
        <v>#N/A</v>
      </c>
      <c r="K9" s="5" t="e">
        <v>#N/A</v>
      </c>
      <c r="L9" s="7">
        <v>107038</v>
      </c>
      <c r="M9" s="5" t="e">
        <v>#N/A</v>
      </c>
    </row>
    <row r="10" spans="1:13" x14ac:dyDescent="0.3">
      <c r="A10" s="4" t="s">
        <v>27</v>
      </c>
      <c r="B10" s="7">
        <v>84570</v>
      </c>
      <c r="C10" s="7">
        <v>68492</v>
      </c>
      <c r="D10" s="7">
        <v>44437</v>
      </c>
      <c r="E10" s="7">
        <v>85555</v>
      </c>
      <c r="F10" s="7">
        <v>125884</v>
      </c>
      <c r="G10" s="5" t="e">
        <v>#N/A</v>
      </c>
      <c r="H10" s="5" t="e">
        <v>#N/A</v>
      </c>
      <c r="I10" s="5" t="e">
        <v>#N/A</v>
      </c>
      <c r="J10" s="5" t="e">
        <v>#N/A</v>
      </c>
      <c r="K10" s="5" t="e">
        <v>#N/A</v>
      </c>
      <c r="L10" s="7">
        <v>408938</v>
      </c>
      <c r="M10" s="5" t="e">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1"/>
  <sheetViews>
    <sheetView topLeftCell="D10" zoomScale="342" zoomScaleNormal="342" workbookViewId="0">
      <selection activeCell="E10" sqref="E10"/>
    </sheetView>
  </sheetViews>
  <sheetFormatPr defaultRowHeight="14.4" x14ac:dyDescent="0.3"/>
  <cols>
    <col min="2" max="2" width="17" bestFit="1" customWidth="1"/>
    <col min="10" max="10" width="13.6640625" bestFit="1" customWidth="1"/>
  </cols>
  <sheetData>
    <row r="1" spans="1:10" x14ac:dyDescent="0.3">
      <c r="A1" t="s">
        <v>0</v>
      </c>
      <c r="B1" t="s">
        <v>1</v>
      </c>
      <c r="C1" t="s">
        <v>2</v>
      </c>
      <c r="D1" t="s">
        <v>3</v>
      </c>
      <c r="E1" t="s">
        <v>4</v>
      </c>
      <c r="F1" t="s">
        <v>5</v>
      </c>
      <c r="G1" t="s">
        <v>6</v>
      </c>
      <c r="H1" t="s">
        <v>7</v>
      </c>
      <c r="I1" t="s">
        <v>23</v>
      </c>
      <c r="J1" t="s">
        <v>24</v>
      </c>
    </row>
    <row r="2" spans="1:10" x14ac:dyDescent="0.3">
      <c r="A2">
        <v>1001</v>
      </c>
      <c r="B2" s="1">
        <v>45409</v>
      </c>
      <c r="C2" t="s">
        <v>8</v>
      </c>
      <c r="D2" t="s">
        <v>9</v>
      </c>
      <c r="E2" t="s">
        <v>10</v>
      </c>
      <c r="F2">
        <v>4</v>
      </c>
      <c r="G2">
        <v>1673</v>
      </c>
      <c r="H2">
        <v>-424</v>
      </c>
      <c r="I2" t="str">
        <f>TEXT(B2,"mmm-yyyy")</f>
        <v>Apr-2024</v>
      </c>
      <c r="J2" s="2">
        <f>H2/G2</f>
        <v>-0.25343693962940828</v>
      </c>
    </row>
    <row r="3" spans="1:10" x14ac:dyDescent="0.3">
      <c r="A3">
        <v>1002</v>
      </c>
      <c r="B3" s="1">
        <v>45629</v>
      </c>
      <c r="C3" t="s">
        <v>8</v>
      </c>
      <c r="D3" t="s">
        <v>11</v>
      </c>
      <c r="E3" t="s">
        <v>12</v>
      </c>
      <c r="F3">
        <v>5</v>
      </c>
      <c r="G3">
        <v>3254</v>
      </c>
      <c r="H3">
        <v>572</v>
      </c>
      <c r="I3" t="str">
        <f t="shared" ref="I3:I66" si="0">TEXT(B3,"mmm-yyyy")</f>
        <v>Dec-2024</v>
      </c>
      <c r="J3" s="2">
        <f t="shared" ref="J3:J66" si="1">H3/G3</f>
        <v>0.17578365089121081</v>
      </c>
    </row>
    <row r="4" spans="1:10" x14ac:dyDescent="0.3">
      <c r="A4">
        <v>1003</v>
      </c>
      <c r="B4" s="1">
        <v>45293</v>
      </c>
      <c r="C4" t="s">
        <v>13</v>
      </c>
      <c r="D4" t="s">
        <v>9</v>
      </c>
      <c r="E4" t="s">
        <v>14</v>
      </c>
      <c r="F4">
        <v>4</v>
      </c>
      <c r="G4">
        <v>9695</v>
      </c>
      <c r="H4">
        <v>367</v>
      </c>
      <c r="I4" t="str">
        <f t="shared" si="0"/>
        <v>Jan-2024</v>
      </c>
      <c r="J4" s="2">
        <f t="shared" si="1"/>
        <v>3.785456420835482E-2</v>
      </c>
    </row>
    <row r="5" spans="1:10" x14ac:dyDescent="0.3">
      <c r="A5">
        <v>1004</v>
      </c>
      <c r="B5" s="1">
        <v>45567</v>
      </c>
      <c r="C5" t="s">
        <v>13</v>
      </c>
      <c r="D5" t="s">
        <v>15</v>
      </c>
      <c r="E5" t="s">
        <v>16</v>
      </c>
      <c r="F5">
        <v>2</v>
      </c>
      <c r="G5">
        <v>18391</v>
      </c>
      <c r="H5">
        <v>-205</v>
      </c>
      <c r="I5" t="str">
        <f t="shared" si="0"/>
        <v>Oct-2024</v>
      </c>
      <c r="J5" s="2">
        <f t="shared" si="1"/>
        <v>-1.1146756565711489E-2</v>
      </c>
    </row>
    <row r="6" spans="1:10" x14ac:dyDescent="0.3">
      <c r="A6">
        <v>1005</v>
      </c>
      <c r="B6" s="1">
        <v>45590</v>
      </c>
      <c r="C6" t="s">
        <v>13</v>
      </c>
      <c r="D6" t="s">
        <v>11</v>
      </c>
      <c r="E6" t="s">
        <v>17</v>
      </c>
      <c r="F6">
        <v>5</v>
      </c>
      <c r="G6">
        <v>8968</v>
      </c>
      <c r="H6">
        <v>3176</v>
      </c>
      <c r="I6" t="str">
        <f t="shared" si="0"/>
        <v>Oct-2024</v>
      </c>
      <c r="J6" s="2">
        <f t="shared" si="1"/>
        <v>0.35414808206958071</v>
      </c>
    </row>
    <row r="7" spans="1:10" x14ac:dyDescent="0.3">
      <c r="A7">
        <v>1006</v>
      </c>
      <c r="B7" s="1">
        <v>45553</v>
      </c>
      <c r="C7" t="s">
        <v>18</v>
      </c>
      <c r="D7" t="s">
        <v>9</v>
      </c>
      <c r="E7" t="s">
        <v>19</v>
      </c>
      <c r="F7">
        <v>3</v>
      </c>
      <c r="G7">
        <v>4458</v>
      </c>
      <c r="H7">
        <v>207</v>
      </c>
      <c r="I7" t="str">
        <f t="shared" si="0"/>
        <v>Sep-2024</v>
      </c>
      <c r="J7" s="2">
        <f t="shared" si="1"/>
        <v>4.6433378196500674E-2</v>
      </c>
    </row>
    <row r="8" spans="1:10" x14ac:dyDescent="0.3">
      <c r="A8">
        <v>1007</v>
      </c>
      <c r="B8" s="1">
        <v>45292</v>
      </c>
      <c r="C8" t="s">
        <v>8</v>
      </c>
      <c r="D8" t="s">
        <v>15</v>
      </c>
      <c r="E8" t="s">
        <v>16</v>
      </c>
      <c r="F8">
        <v>3</v>
      </c>
      <c r="G8">
        <v>13020</v>
      </c>
      <c r="H8">
        <v>4858</v>
      </c>
      <c r="I8" t="str">
        <f t="shared" si="0"/>
        <v>Jan-2024</v>
      </c>
      <c r="J8" s="2">
        <f t="shared" si="1"/>
        <v>0.37311827956989246</v>
      </c>
    </row>
    <row r="9" spans="1:10" x14ac:dyDescent="0.3">
      <c r="A9">
        <v>1008</v>
      </c>
      <c r="B9" s="1">
        <v>45583</v>
      </c>
      <c r="C9" t="s">
        <v>8</v>
      </c>
      <c r="D9" t="s">
        <v>15</v>
      </c>
      <c r="E9" t="s">
        <v>20</v>
      </c>
      <c r="F9">
        <v>5</v>
      </c>
      <c r="G9">
        <v>2247</v>
      </c>
      <c r="H9">
        <v>63</v>
      </c>
      <c r="I9" t="str">
        <f t="shared" si="0"/>
        <v>Oct-2024</v>
      </c>
      <c r="J9" s="2">
        <f t="shared" si="1"/>
        <v>2.8037383177570093E-2</v>
      </c>
    </row>
    <row r="10" spans="1:10" x14ac:dyDescent="0.3">
      <c r="A10">
        <v>1009</v>
      </c>
      <c r="B10" s="1">
        <v>45650</v>
      </c>
      <c r="C10" t="s">
        <v>8</v>
      </c>
      <c r="D10" t="s">
        <v>15</v>
      </c>
      <c r="E10" t="s">
        <v>21</v>
      </c>
      <c r="F10">
        <v>4</v>
      </c>
      <c r="G10">
        <v>8094</v>
      </c>
      <c r="H10">
        <v>-105</v>
      </c>
      <c r="I10" t="str">
        <f t="shared" si="0"/>
        <v>Dec-2024</v>
      </c>
      <c r="J10" s="2">
        <f t="shared" si="1"/>
        <v>-1.2972572275759823E-2</v>
      </c>
    </row>
    <row r="11" spans="1:10" x14ac:dyDescent="0.3">
      <c r="A11">
        <v>1010</v>
      </c>
      <c r="B11" s="1">
        <v>45567</v>
      </c>
      <c r="C11" t="s">
        <v>18</v>
      </c>
      <c r="D11" t="s">
        <v>11</v>
      </c>
      <c r="E11" t="s">
        <v>22</v>
      </c>
      <c r="F11">
        <v>2</v>
      </c>
      <c r="G11">
        <v>14783</v>
      </c>
      <c r="H11">
        <v>2869</v>
      </c>
      <c r="I11" t="str">
        <f t="shared" si="0"/>
        <v>Oct-2024</v>
      </c>
      <c r="J11" s="2">
        <f t="shared" si="1"/>
        <v>0.19407427450449841</v>
      </c>
    </row>
    <row r="12" spans="1:10" x14ac:dyDescent="0.3">
      <c r="A12">
        <v>1011</v>
      </c>
      <c r="B12" s="1">
        <v>45487</v>
      </c>
      <c r="C12" t="s">
        <v>13</v>
      </c>
      <c r="D12" t="s">
        <v>11</v>
      </c>
      <c r="E12" t="s">
        <v>22</v>
      </c>
      <c r="F12">
        <v>2</v>
      </c>
      <c r="G12">
        <v>13017</v>
      </c>
      <c r="H12">
        <v>3187</v>
      </c>
      <c r="I12" t="str">
        <f t="shared" si="0"/>
        <v>Jul-2024</v>
      </c>
      <c r="J12" s="2">
        <f t="shared" si="1"/>
        <v>0.24483367903510794</v>
      </c>
    </row>
    <row r="13" spans="1:10" x14ac:dyDescent="0.3">
      <c r="A13">
        <v>1012</v>
      </c>
      <c r="B13" s="1">
        <v>45605</v>
      </c>
      <c r="C13" t="s">
        <v>8</v>
      </c>
      <c r="D13" t="s">
        <v>11</v>
      </c>
      <c r="E13" t="s">
        <v>17</v>
      </c>
      <c r="F13">
        <v>1</v>
      </c>
      <c r="G13">
        <v>6032</v>
      </c>
      <c r="H13">
        <v>-442</v>
      </c>
      <c r="I13" t="str">
        <f t="shared" si="0"/>
        <v>Nov-2024</v>
      </c>
      <c r="J13" s="2">
        <f t="shared" si="1"/>
        <v>-7.3275862068965511E-2</v>
      </c>
    </row>
    <row r="14" spans="1:10" x14ac:dyDescent="0.3">
      <c r="A14">
        <v>1013</v>
      </c>
      <c r="B14" s="1">
        <v>45326</v>
      </c>
      <c r="C14" t="s">
        <v>18</v>
      </c>
      <c r="D14" t="s">
        <v>9</v>
      </c>
      <c r="E14" t="s">
        <v>14</v>
      </c>
      <c r="F14">
        <v>1</v>
      </c>
      <c r="G14">
        <v>4274</v>
      </c>
      <c r="H14">
        <v>1112</v>
      </c>
      <c r="I14" t="str">
        <f t="shared" si="0"/>
        <v>Feb-2024</v>
      </c>
      <c r="J14" s="2">
        <f t="shared" si="1"/>
        <v>0.26017781937295276</v>
      </c>
    </row>
    <row r="15" spans="1:10" x14ac:dyDescent="0.3">
      <c r="A15">
        <v>1014</v>
      </c>
      <c r="B15" s="1">
        <v>45481</v>
      </c>
      <c r="C15" t="s">
        <v>8</v>
      </c>
      <c r="D15" t="s">
        <v>15</v>
      </c>
      <c r="E15" t="s">
        <v>21</v>
      </c>
      <c r="F15">
        <v>3</v>
      </c>
      <c r="G15">
        <v>17838</v>
      </c>
      <c r="H15">
        <v>14</v>
      </c>
      <c r="I15" t="str">
        <f t="shared" si="0"/>
        <v>Jul-2024</v>
      </c>
      <c r="J15" s="2">
        <f t="shared" si="1"/>
        <v>7.8484134992712188E-4</v>
      </c>
    </row>
    <row r="16" spans="1:10" x14ac:dyDescent="0.3">
      <c r="A16">
        <v>1015</v>
      </c>
      <c r="B16" s="1">
        <v>45645</v>
      </c>
      <c r="C16" t="s">
        <v>13</v>
      </c>
      <c r="D16" t="s">
        <v>15</v>
      </c>
      <c r="E16" t="s">
        <v>16</v>
      </c>
      <c r="F16">
        <v>4</v>
      </c>
      <c r="G16">
        <v>9169</v>
      </c>
      <c r="H16">
        <v>1023</v>
      </c>
      <c r="I16" t="str">
        <f t="shared" si="0"/>
        <v>Dec-2024</v>
      </c>
      <c r="J16" s="2">
        <f t="shared" si="1"/>
        <v>0.11157159995637474</v>
      </c>
    </row>
    <row r="17" spans="1:10" x14ac:dyDescent="0.3">
      <c r="A17">
        <v>1016</v>
      </c>
      <c r="B17" s="1">
        <v>45488</v>
      </c>
      <c r="C17" t="s">
        <v>8</v>
      </c>
      <c r="D17" t="s">
        <v>9</v>
      </c>
      <c r="E17" t="s">
        <v>14</v>
      </c>
      <c r="F17">
        <v>4</v>
      </c>
      <c r="G17">
        <v>18211</v>
      </c>
      <c r="H17">
        <v>7065</v>
      </c>
      <c r="I17" t="str">
        <f t="shared" si="0"/>
        <v>Jul-2024</v>
      </c>
      <c r="J17" s="2">
        <f t="shared" si="1"/>
        <v>0.38795233649991762</v>
      </c>
    </row>
    <row r="18" spans="1:10" x14ac:dyDescent="0.3">
      <c r="A18">
        <v>1017</v>
      </c>
      <c r="B18" s="1">
        <v>45405</v>
      </c>
      <c r="C18" t="s">
        <v>13</v>
      </c>
      <c r="D18" t="s">
        <v>11</v>
      </c>
      <c r="E18" t="s">
        <v>17</v>
      </c>
      <c r="F18">
        <v>1</v>
      </c>
      <c r="G18">
        <v>18113</v>
      </c>
      <c r="H18">
        <v>2129</v>
      </c>
      <c r="I18" t="str">
        <f t="shared" si="0"/>
        <v>Apr-2024</v>
      </c>
      <c r="J18" s="2">
        <f t="shared" si="1"/>
        <v>0.11753988847788881</v>
      </c>
    </row>
    <row r="19" spans="1:10" x14ac:dyDescent="0.3">
      <c r="A19">
        <v>1018</v>
      </c>
      <c r="B19" s="1">
        <v>45328</v>
      </c>
      <c r="C19" t="s">
        <v>8</v>
      </c>
      <c r="D19" t="s">
        <v>11</v>
      </c>
      <c r="E19" t="s">
        <v>22</v>
      </c>
      <c r="F19">
        <v>1</v>
      </c>
      <c r="G19">
        <v>19339</v>
      </c>
      <c r="H19">
        <v>4023</v>
      </c>
      <c r="I19" t="str">
        <f t="shared" si="0"/>
        <v>Feb-2024</v>
      </c>
      <c r="J19" s="2">
        <f t="shared" si="1"/>
        <v>0.20802523398314288</v>
      </c>
    </row>
    <row r="20" spans="1:10" x14ac:dyDescent="0.3">
      <c r="A20">
        <v>1019</v>
      </c>
      <c r="B20" s="1">
        <v>45437</v>
      </c>
      <c r="C20" t="s">
        <v>13</v>
      </c>
      <c r="D20" t="s">
        <v>11</v>
      </c>
      <c r="E20" t="s">
        <v>22</v>
      </c>
      <c r="F20">
        <v>3</v>
      </c>
      <c r="G20">
        <v>9135</v>
      </c>
      <c r="H20">
        <v>2748</v>
      </c>
      <c r="I20" t="str">
        <f t="shared" si="0"/>
        <v>May-2024</v>
      </c>
      <c r="J20" s="2">
        <f t="shared" si="1"/>
        <v>0.30082101806239736</v>
      </c>
    </row>
    <row r="21" spans="1:10" x14ac:dyDescent="0.3">
      <c r="A21">
        <v>1020</v>
      </c>
      <c r="B21" s="1">
        <v>45628</v>
      </c>
      <c r="C21" t="s">
        <v>18</v>
      </c>
      <c r="D21" t="s">
        <v>11</v>
      </c>
      <c r="E21" t="s">
        <v>17</v>
      </c>
      <c r="F21">
        <v>1</v>
      </c>
      <c r="G21">
        <v>10465</v>
      </c>
      <c r="H21">
        <v>1012</v>
      </c>
      <c r="I21" t="str">
        <f t="shared" si="0"/>
        <v>Dec-2024</v>
      </c>
      <c r="J21" s="2">
        <f t="shared" si="1"/>
        <v>9.6703296703296707E-2</v>
      </c>
    </row>
    <row r="22" spans="1:10" x14ac:dyDescent="0.3">
      <c r="A22">
        <v>1021</v>
      </c>
      <c r="B22" s="1">
        <v>45406</v>
      </c>
      <c r="C22" t="s">
        <v>18</v>
      </c>
      <c r="D22" t="s">
        <v>9</v>
      </c>
      <c r="E22" t="s">
        <v>10</v>
      </c>
      <c r="F22">
        <v>3</v>
      </c>
      <c r="G22">
        <v>13054</v>
      </c>
      <c r="H22">
        <v>3295</v>
      </c>
      <c r="I22" t="str">
        <f t="shared" si="0"/>
        <v>Apr-2024</v>
      </c>
      <c r="J22" s="2">
        <f t="shared" si="1"/>
        <v>0.25241305347020071</v>
      </c>
    </row>
    <row r="23" spans="1:10" x14ac:dyDescent="0.3">
      <c r="A23">
        <v>1022</v>
      </c>
      <c r="B23" s="1">
        <v>45598</v>
      </c>
      <c r="C23" t="s">
        <v>13</v>
      </c>
      <c r="D23" t="s">
        <v>9</v>
      </c>
      <c r="E23" t="s">
        <v>10</v>
      </c>
      <c r="F23">
        <v>3</v>
      </c>
      <c r="G23">
        <v>4901</v>
      </c>
      <c r="H23">
        <v>1131</v>
      </c>
      <c r="I23" t="str">
        <f t="shared" si="0"/>
        <v>Nov-2024</v>
      </c>
      <c r="J23" s="2">
        <f t="shared" si="1"/>
        <v>0.23076923076923078</v>
      </c>
    </row>
    <row r="24" spans="1:10" x14ac:dyDescent="0.3">
      <c r="A24">
        <v>1023</v>
      </c>
      <c r="B24" s="1">
        <v>45441</v>
      </c>
      <c r="C24" t="s">
        <v>8</v>
      </c>
      <c r="D24" t="s">
        <v>11</v>
      </c>
      <c r="E24" t="s">
        <v>12</v>
      </c>
      <c r="F24">
        <v>2</v>
      </c>
      <c r="G24">
        <v>8575</v>
      </c>
      <c r="H24">
        <v>720</v>
      </c>
      <c r="I24" t="str">
        <f t="shared" si="0"/>
        <v>May-2024</v>
      </c>
      <c r="J24" s="2">
        <f t="shared" si="1"/>
        <v>8.3965014577259481E-2</v>
      </c>
    </row>
    <row r="25" spans="1:10" x14ac:dyDescent="0.3">
      <c r="A25">
        <v>1024</v>
      </c>
      <c r="B25" s="1">
        <v>45360</v>
      </c>
      <c r="C25" t="s">
        <v>8</v>
      </c>
      <c r="D25" t="s">
        <v>11</v>
      </c>
      <c r="E25" t="s">
        <v>17</v>
      </c>
      <c r="F25">
        <v>5</v>
      </c>
      <c r="G25">
        <v>12495</v>
      </c>
      <c r="H25">
        <v>564</v>
      </c>
      <c r="I25" t="str">
        <f t="shared" si="0"/>
        <v>Mar-2024</v>
      </c>
      <c r="J25" s="2">
        <f t="shared" si="1"/>
        <v>4.5138055222088837E-2</v>
      </c>
    </row>
    <row r="26" spans="1:10" x14ac:dyDescent="0.3">
      <c r="A26">
        <v>1025</v>
      </c>
      <c r="B26" s="1">
        <v>45303</v>
      </c>
      <c r="C26" t="s">
        <v>8</v>
      </c>
      <c r="D26" t="s">
        <v>9</v>
      </c>
      <c r="E26" t="s">
        <v>14</v>
      </c>
      <c r="F26">
        <v>3</v>
      </c>
      <c r="G26">
        <v>3359</v>
      </c>
      <c r="H26">
        <v>472</v>
      </c>
      <c r="I26" t="str">
        <f t="shared" si="0"/>
        <v>Jan-2024</v>
      </c>
      <c r="J26" s="2">
        <f t="shared" si="1"/>
        <v>0.14051801131289074</v>
      </c>
    </row>
    <row r="27" spans="1:10" x14ac:dyDescent="0.3">
      <c r="A27">
        <v>1026</v>
      </c>
      <c r="B27" s="1">
        <v>45500</v>
      </c>
      <c r="C27" t="s">
        <v>13</v>
      </c>
      <c r="D27" t="s">
        <v>9</v>
      </c>
      <c r="E27" t="s">
        <v>19</v>
      </c>
      <c r="F27">
        <v>2</v>
      </c>
      <c r="G27">
        <v>14603</v>
      </c>
      <c r="H27">
        <v>1143</v>
      </c>
      <c r="I27" t="str">
        <f t="shared" si="0"/>
        <v>Jul-2024</v>
      </c>
      <c r="J27" s="2">
        <f t="shared" si="1"/>
        <v>7.8271588029856884E-2</v>
      </c>
    </row>
    <row r="28" spans="1:10" x14ac:dyDescent="0.3">
      <c r="A28">
        <v>1027</v>
      </c>
      <c r="B28" s="1">
        <v>45497</v>
      </c>
      <c r="C28" t="s">
        <v>8</v>
      </c>
      <c r="D28" t="s">
        <v>9</v>
      </c>
      <c r="E28" t="s">
        <v>10</v>
      </c>
      <c r="F28">
        <v>3</v>
      </c>
      <c r="G28">
        <v>1901</v>
      </c>
      <c r="H28">
        <v>137</v>
      </c>
      <c r="I28" t="str">
        <f t="shared" si="0"/>
        <v>Jul-2024</v>
      </c>
      <c r="J28" s="2">
        <f t="shared" si="1"/>
        <v>7.2067332982640717E-2</v>
      </c>
    </row>
    <row r="29" spans="1:10" x14ac:dyDescent="0.3">
      <c r="A29">
        <v>1028</v>
      </c>
      <c r="B29" s="1">
        <v>45437</v>
      </c>
      <c r="C29" t="s">
        <v>18</v>
      </c>
      <c r="D29" t="s">
        <v>9</v>
      </c>
      <c r="E29" t="s">
        <v>10</v>
      </c>
      <c r="F29">
        <v>1</v>
      </c>
      <c r="G29">
        <v>4870</v>
      </c>
      <c r="H29">
        <v>1330</v>
      </c>
      <c r="I29" t="str">
        <f t="shared" si="0"/>
        <v>May-2024</v>
      </c>
      <c r="J29" s="2">
        <f t="shared" si="1"/>
        <v>0.2731006160164271</v>
      </c>
    </row>
    <row r="30" spans="1:10" x14ac:dyDescent="0.3">
      <c r="A30">
        <v>1029</v>
      </c>
      <c r="B30" s="1">
        <v>45429</v>
      </c>
      <c r="C30" t="s">
        <v>13</v>
      </c>
      <c r="D30" t="s">
        <v>11</v>
      </c>
      <c r="E30" t="s">
        <v>12</v>
      </c>
      <c r="F30">
        <v>1</v>
      </c>
      <c r="G30">
        <v>18324</v>
      </c>
      <c r="H30">
        <v>517</v>
      </c>
      <c r="I30" t="str">
        <f t="shared" si="0"/>
        <v>May-2024</v>
      </c>
      <c r="J30" s="2">
        <f t="shared" si="1"/>
        <v>2.8214363676053265E-2</v>
      </c>
    </row>
    <row r="31" spans="1:10" x14ac:dyDescent="0.3">
      <c r="A31">
        <v>1030</v>
      </c>
      <c r="B31" s="1">
        <v>45621</v>
      </c>
      <c r="C31" t="s">
        <v>8</v>
      </c>
      <c r="D31" t="s">
        <v>11</v>
      </c>
      <c r="E31" t="s">
        <v>12</v>
      </c>
      <c r="F31">
        <v>4</v>
      </c>
      <c r="G31">
        <v>8094</v>
      </c>
      <c r="H31">
        <v>2771</v>
      </c>
      <c r="I31" t="str">
        <f t="shared" si="0"/>
        <v>Nov-2024</v>
      </c>
      <c r="J31" s="2">
        <f t="shared" si="1"/>
        <v>0.34235235977267109</v>
      </c>
    </row>
    <row r="32" spans="1:10" x14ac:dyDescent="0.3">
      <c r="A32">
        <v>1031</v>
      </c>
      <c r="B32" s="1">
        <v>45406</v>
      </c>
      <c r="C32" t="s">
        <v>8</v>
      </c>
      <c r="D32" t="s">
        <v>15</v>
      </c>
      <c r="E32" t="s">
        <v>16</v>
      </c>
      <c r="F32">
        <v>1</v>
      </c>
      <c r="G32">
        <v>7153</v>
      </c>
      <c r="H32">
        <v>2214</v>
      </c>
      <c r="I32" t="str">
        <f t="shared" si="0"/>
        <v>Apr-2024</v>
      </c>
      <c r="J32" s="2">
        <f t="shared" si="1"/>
        <v>0.30952048091709772</v>
      </c>
    </row>
    <row r="33" spans="1:10" x14ac:dyDescent="0.3">
      <c r="A33">
        <v>1032</v>
      </c>
      <c r="B33" s="1">
        <v>45350</v>
      </c>
      <c r="C33" t="s">
        <v>8</v>
      </c>
      <c r="D33" t="s">
        <v>9</v>
      </c>
      <c r="E33" t="s">
        <v>19</v>
      </c>
      <c r="F33">
        <v>3</v>
      </c>
      <c r="G33">
        <v>4635</v>
      </c>
      <c r="H33">
        <v>1801</v>
      </c>
      <c r="I33" t="str">
        <f t="shared" si="0"/>
        <v>Feb-2024</v>
      </c>
      <c r="J33" s="2">
        <f t="shared" si="1"/>
        <v>0.38856526429341964</v>
      </c>
    </row>
    <row r="34" spans="1:10" x14ac:dyDescent="0.3">
      <c r="A34">
        <v>1033</v>
      </c>
      <c r="B34" s="1">
        <v>45619</v>
      </c>
      <c r="C34" t="s">
        <v>8</v>
      </c>
      <c r="D34" t="s">
        <v>9</v>
      </c>
      <c r="E34" t="s">
        <v>10</v>
      </c>
      <c r="F34">
        <v>2</v>
      </c>
      <c r="G34">
        <v>9936</v>
      </c>
      <c r="H34">
        <v>1340</v>
      </c>
      <c r="I34" t="str">
        <f t="shared" si="0"/>
        <v>Nov-2024</v>
      </c>
      <c r="J34" s="2">
        <f t="shared" si="1"/>
        <v>0.13486312399355876</v>
      </c>
    </row>
    <row r="35" spans="1:10" x14ac:dyDescent="0.3">
      <c r="A35">
        <v>1034</v>
      </c>
      <c r="B35" s="1">
        <v>45382</v>
      </c>
      <c r="C35" t="s">
        <v>8</v>
      </c>
      <c r="D35" t="s">
        <v>15</v>
      </c>
      <c r="E35" t="s">
        <v>21</v>
      </c>
      <c r="F35">
        <v>3</v>
      </c>
      <c r="G35">
        <v>9831</v>
      </c>
      <c r="H35">
        <v>964</v>
      </c>
      <c r="I35" t="str">
        <f t="shared" si="0"/>
        <v>Mar-2024</v>
      </c>
      <c r="J35" s="2">
        <f t="shared" si="1"/>
        <v>9.8057166107211879E-2</v>
      </c>
    </row>
    <row r="36" spans="1:10" x14ac:dyDescent="0.3">
      <c r="A36">
        <v>1035</v>
      </c>
      <c r="B36" s="1">
        <v>45549</v>
      </c>
      <c r="C36" t="s">
        <v>13</v>
      </c>
      <c r="D36" t="s">
        <v>9</v>
      </c>
      <c r="E36" t="s">
        <v>19</v>
      </c>
      <c r="F36">
        <v>1</v>
      </c>
      <c r="G36">
        <v>7020</v>
      </c>
      <c r="H36">
        <v>2614</v>
      </c>
      <c r="I36" t="str">
        <f t="shared" si="0"/>
        <v>Sep-2024</v>
      </c>
      <c r="J36" s="2">
        <f t="shared" si="1"/>
        <v>0.37236467236467236</v>
      </c>
    </row>
    <row r="37" spans="1:10" x14ac:dyDescent="0.3">
      <c r="A37">
        <v>1036</v>
      </c>
      <c r="B37" s="1">
        <v>45597</v>
      </c>
      <c r="C37" t="s">
        <v>18</v>
      </c>
      <c r="D37" t="s">
        <v>11</v>
      </c>
      <c r="E37" t="s">
        <v>12</v>
      </c>
      <c r="F37">
        <v>5</v>
      </c>
      <c r="G37">
        <v>12866</v>
      </c>
      <c r="H37">
        <v>-269</v>
      </c>
      <c r="I37" t="str">
        <f t="shared" si="0"/>
        <v>Nov-2024</v>
      </c>
      <c r="J37" s="2">
        <f t="shared" si="1"/>
        <v>-2.090781905798228E-2</v>
      </c>
    </row>
    <row r="38" spans="1:10" x14ac:dyDescent="0.3">
      <c r="A38">
        <v>1037</v>
      </c>
      <c r="B38" s="1">
        <v>45573</v>
      </c>
      <c r="C38" t="s">
        <v>18</v>
      </c>
      <c r="D38" t="s">
        <v>11</v>
      </c>
      <c r="E38" t="s">
        <v>22</v>
      </c>
      <c r="F38">
        <v>2</v>
      </c>
      <c r="G38">
        <v>19028</v>
      </c>
      <c r="H38">
        <v>437</v>
      </c>
      <c r="I38" t="str">
        <f t="shared" si="0"/>
        <v>Oct-2024</v>
      </c>
      <c r="J38" s="2">
        <f t="shared" si="1"/>
        <v>2.2966155139793987E-2</v>
      </c>
    </row>
    <row r="39" spans="1:10" x14ac:dyDescent="0.3">
      <c r="A39">
        <v>1038</v>
      </c>
      <c r="B39" s="1">
        <v>45558</v>
      </c>
      <c r="C39" t="s">
        <v>8</v>
      </c>
      <c r="D39" t="s">
        <v>9</v>
      </c>
      <c r="E39" t="s">
        <v>14</v>
      </c>
      <c r="F39">
        <v>4</v>
      </c>
      <c r="G39">
        <v>4284</v>
      </c>
      <c r="H39">
        <v>634</v>
      </c>
      <c r="I39" t="str">
        <f t="shared" si="0"/>
        <v>Sep-2024</v>
      </c>
      <c r="J39" s="2">
        <f t="shared" si="1"/>
        <v>0.14799253034547152</v>
      </c>
    </row>
    <row r="40" spans="1:10" x14ac:dyDescent="0.3">
      <c r="A40">
        <v>1039</v>
      </c>
      <c r="B40" s="1">
        <v>45555</v>
      </c>
      <c r="C40" t="s">
        <v>13</v>
      </c>
      <c r="D40" t="s">
        <v>9</v>
      </c>
      <c r="E40" t="s">
        <v>14</v>
      </c>
      <c r="F40">
        <v>1</v>
      </c>
      <c r="G40">
        <v>15883</v>
      </c>
      <c r="H40">
        <v>5635</v>
      </c>
      <c r="I40" t="str">
        <f t="shared" si="0"/>
        <v>Sep-2024</v>
      </c>
      <c r="J40" s="2">
        <f t="shared" si="1"/>
        <v>0.35478184222124282</v>
      </c>
    </row>
    <row r="41" spans="1:10" x14ac:dyDescent="0.3">
      <c r="A41">
        <v>1040</v>
      </c>
      <c r="B41" s="1">
        <v>45566</v>
      </c>
      <c r="C41" t="s">
        <v>18</v>
      </c>
      <c r="D41" t="s">
        <v>9</v>
      </c>
      <c r="E41" t="s">
        <v>10</v>
      </c>
      <c r="F41">
        <v>1</v>
      </c>
      <c r="G41">
        <v>1952</v>
      </c>
      <c r="H41">
        <v>-500</v>
      </c>
      <c r="I41" t="str">
        <f t="shared" si="0"/>
        <v>Oct-2024</v>
      </c>
      <c r="J41" s="2">
        <f t="shared" si="1"/>
        <v>-0.25614754098360654</v>
      </c>
    </row>
    <row r="42" spans="1:10" x14ac:dyDescent="0.3">
      <c r="A42">
        <v>1041</v>
      </c>
      <c r="B42" s="1">
        <v>45349</v>
      </c>
      <c r="C42" t="s">
        <v>13</v>
      </c>
      <c r="D42" t="s">
        <v>9</v>
      </c>
      <c r="E42" t="s">
        <v>14</v>
      </c>
      <c r="F42">
        <v>2</v>
      </c>
      <c r="G42">
        <v>7404</v>
      </c>
      <c r="H42">
        <v>953</v>
      </c>
      <c r="I42" t="str">
        <f t="shared" si="0"/>
        <v>Feb-2024</v>
      </c>
      <c r="J42" s="2">
        <f t="shared" si="1"/>
        <v>0.12871420853592652</v>
      </c>
    </row>
    <row r="43" spans="1:10" x14ac:dyDescent="0.3">
      <c r="A43">
        <v>1042</v>
      </c>
      <c r="B43" s="1">
        <v>45587</v>
      </c>
      <c r="C43" t="s">
        <v>8</v>
      </c>
      <c r="D43" t="s">
        <v>9</v>
      </c>
      <c r="E43" t="s">
        <v>10</v>
      </c>
      <c r="F43">
        <v>5</v>
      </c>
      <c r="G43">
        <v>16055</v>
      </c>
      <c r="H43">
        <v>499</v>
      </c>
      <c r="I43" t="str">
        <f t="shared" si="0"/>
        <v>Oct-2024</v>
      </c>
      <c r="J43" s="2">
        <f t="shared" si="1"/>
        <v>3.1080660230457802E-2</v>
      </c>
    </row>
    <row r="44" spans="1:10" x14ac:dyDescent="0.3">
      <c r="A44">
        <v>1043</v>
      </c>
      <c r="B44" s="1">
        <v>45417</v>
      </c>
      <c r="C44" t="s">
        <v>13</v>
      </c>
      <c r="D44" t="s">
        <v>15</v>
      </c>
      <c r="E44" t="s">
        <v>21</v>
      </c>
      <c r="F44">
        <v>1</v>
      </c>
      <c r="G44">
        <v>1613</v>
      </c>
      <c r="H44">
        <v>417</v>
      </c>
      <c r="I44" t="str">
        <f t="shared" si="0"/>
        <v>May-2024</v>
      </c>
      <c r="J44" s="2">
        <f t="shared" si="1"/>
        <v>0.25852448853068816</v>
      </c>
    </row>
    <row r="45" spans="1:10" x14ac:dyDescent="0.3">
      <c r="A45">
        <v>1044</v>
      </c>
      <c r="B45" s="1">
        <v>45477</v>
      </c>
      <c r="C45" t="s">
        <v>8</v>
      </c>
      <c r="D45" t="s">
        <v>15</v>
      </c>
      <c r="E45" t="s">
        <v>21</v>
      </c>
      <c r="F45">
        <v>4</v>
      </c>
      <c r="G45">
        <v>10552</v>
      </c>
      <c r="H45">
        <v>2601</v>
      </c>
      <c r="I45" t="str">
        <f t="shared" si="0"/>
        <v>Jul-2024</v>
      </c>
      <c r="J45" s="2">
        <f t="shared" si="1"/>
        <v>0.24649355572403336</v>
      </c>
    </row>
    <row r="46" spans="1:10" x14ac:dyDescent="0.3">
      <c r="A46">
        <v>1045</v>
      </c>
      <c r="B46" s="1">
        <v>45357</v>
      </c>
      <c r="C46" t="s">
        <v>13</v>
      </c>
      <c r="D46" t="s">
        <v>15</v>
      </c>
      <c r="E46" t="s">
        <v>21</v>
      </c>
      <c r="F46">
        <v>5</v>
      </c>
      <c r="G46">
        <v>17227</v>
      </c>
      <c r="H46">
        <v>5274</v>
      </c>
      <c r="I46" t="str">
        <f t="shared" si="0"/>
        <v>Mar-2024</v>
      </c>
      <c r="J46" s="2">
        <f t="shared" si="1"/>
        <v>0.30614732687061008</v>
      </c>
    </row>
    <row r="47" spans="1:10" x14ac:dyDescent="0.3">
      <c r="A47">
        <v>1046</v>
      </c>
      <c r="B47" s="1">
        <v>45451</v>
      </c>
      <c r="C47" t="s">
        <v>13</v>
      </c>
      <c r="D47" t="s">
        <v>9</v>
      </c>
      <c r="E47" t="s">
        <v>10</v>
      </c>
      <c r="F47">
        <v>3</v>
      </c>
      <c r="G47">
        <v>18609</v>
      </c>
      <c r="H47">
        <v>900</v>
      </c>
      <c r="I47" t="str">
        <f t="shared" si="0"/>
        <v>Jun-2024</v>
      </c>
      <c r="J47" s="2">
        <f t="shared" si="1"/>
        <v>4.8363694986296953E-2</v>
      </c>
    </row>
    <row r="48" spans="1:10" x14ac:dyDescent="0.3">
      <c r="A48">
        <v>1047</v>
      </c>
      <c r="B48" s="1">
        <v>45335</v>
      </c>
      <c r="C48" t="s">
        <v>8</v>
      </c>
      <c r="D48" t="s">
        <v>11</v>
      </c>
      <c r="E48" t="s">
        <v>22</v>
      </c>
      <c r="F48">
        <v>5</v>
      </c>
      <c r="G48">
        <v>15649</v>
      </c>
      <c r="H48">
        <v>168</v>
      </c>
      <c r="I48" t="str">
        <f t="shared" si="0"/>
        <v>Feb-2024</v>
      </c>
      <c r="J48" s="2">
        <f t="shared" si="1"/>
        <v>1.0735510256246406E-2</v>
      </c>
    </row>
    <row r="49" spans="1:10" x14ac:dyDescent="0.3">
      <c r="A49">
        <v>1048</v>
      </c>
      <c r="B49" s="1">
        <v>45437</v>
      </c>
      <c r="C49" t="s">
        <v>18</v>
      </c>
      <c r="D49" t="s">
        <v>9</v>
      </c>
      <c r="E49" t="s">
        <v>19</v>
      </c>
      <c r="F49">
        <v>5</v>
      </c>
      <c r="G49">
        <v>10683</v>
      </c>
      <c r="H49">
        <v>-120</v>
      </c>
      <c r="I49" t="str">
        <f t="shared" si="0"/>
        <v>May-2024</v>
      </c>
      <c r="J49" s="2">
        <f t="shared" si="1"/>
        <v>-1.1232799775344004E-2</v>
      </c>
    </row>
    <row r="50" spans="1:10" x14ac:dyDescent="0.3">
      <c r="A50">
        <v>1049</v>
      </c>
      <c r="B50" s="1">
        <v>45627</v>
      </c>
      <c r="C50" t="s">
        <v>8</v>
      </c>
      <c r="D50" t="s">
        <v>9</v>
      </c>
      <c r="E50" t="s">
        <v>10</v>
      </c>
      <c r="F50">
        <v>2</v>
      </c>
      <c r="G50">
        <v>13984</v>
      </c>
      <c r="H50">
        <v>967</v>
      </c>
      <c r="I50" t="str">
        <f t="shared" si="0"/>
        <v>Dec-2024</v>
      </c>
      <c r="J50" s="2">
        <f t="shared" si="1"/>
        <v>6.9150457665903886E-2</v>
      </c>
    </row>
    <row r="51" spans="1:10" x14ac:dyDescent="0.3">
      <c r="A51">
        <v>1050</v>
      </c>
      <c r="B51" s="1">
        <v>45431</v>
      </c>
      <c r="C51" t="s">
        <v>18</v>
      </c>
      <c r="D51" t="s">
        <v>9</v>
      </c>
      <c r="E51" t="s">
        <v>14</v>
      </c>
      <c r="F51">
        <v>5</v>
      </c>
      <c r="G51">
        <v>8807</v>
      </c>
      <c r="H51">
        <v>309</v>
      </c>
      <c r="I51" t="str">
        <f t="shared" si="0"/>
        <v>May-2024</v>
      </c>
      <c r="J51" s="2">
        <f t="shared" si="1"/>
        <v>3.5085727262404907E-2</v>
      </c>
    </row>
    <row r="52" spans="1:10" x14ac:dyDescent="0.3">
      <c r="A52">
        <v>1051</v>
      </c>
      <c r="B52" s="1">
        <v>45625</v>
      </c>
      <c r="C52" t="s">
        <v>13</v>
      </c>
      <c r="D52" t="s">
        <v>15</v>
      </c>
      <c r="E52" t="s">
        <v>20</v>
      </c>
      <c r="F52">
        <v>4</v>
      </c>
      <c r="G52">
        <v>10277</v>
      </c>
      <c r="H52">
        <v>3842</v>
      </c>
      <c r="I52" t="str">
        <f t="shared" si="0"/>
        <v>Nov-2024</v>
      </c>
      <c r="J52" s="2">
        <f t="shared" si="1"/>
        <v>0.3738445071518926</v>
      </c>
    </row>
    <row r="53" spans="1:10" x14ac:dyDescent="0.3">
      <c r="A53">
        <v>1052</v>
      </c>
      <c r="B53" s="1">
        <v>45585</v>
      </c>
      <c r="C53" t="s">
        <v>18</v>
      </c>
      <c r="D53" t="s">
        <v>11</v>
      </c>
      <c r="E53" t="s">
        <v>17</v>
      </c>
      <c r="F53">
        <v>2</v>
      </c>
      <c r="G53">
        <v>7731</v>
      </c>
      <c r="H53">
        <v>182</v>
      </c>
      <c r="I53" t="str">
        <f t="shared" si="0"/>
        <v>Oct-2024</v>
      </c>
      <c r="J53" s="2">
        <f t="shared" si="1"/>
        <v>2.3541585823308758E-2</v>
      </c>
    </row>
    <row r="54" spans="1:10" x14ac:dyDescent="0.3">
      <c r="A54">
        <v>1053</v>
      </c>
      <c r="B54" s="1">
        <v>45477</v>
      </c>
      <c r="C54" t="s">
        <v>8</v>
      </c>
      <c r="D54" t="s">
        <v>11</v>
      </c>
      <c r="E54" t="s">
        <v>22</v>
      </c>
      <c r="F54">
        <v>2</v>
      </c>
      <c r="G54">
        <v>19100</v>
      </c>
      <c r="H54">
        <v>4709</v>
      </c>
      <c r="I54" t="str">
        <f t="shared" si="0"/>
        <v>Jul-2024</v>
      </c>
      <c r="J54" s="2">
        <f t="shared" si="1"/>
        <v>0.24654450261780106</v>
      </c>
    </row>
    <row r="55" spans="1:10" x14ac:dyDescent="0.3">
      <c r="A55">
        <v>1054</v>
      </c>
      <c r="B55" s="1">
        <v>45317</v>
      </c>
      <c r="C55" t="s">
        <v>18</v>
      </c>
      <c r="D55" t="s">
        <v>15</v>
      </c>
      <c r="E55" t="s">
        <v>20</v>
      </c>
      <c r="F55">
        <v>1</v>
      </c>
      <c r="G55">
        <v>7021</v>
      </c>
      <c r="H55">
        <v>94</v>
      </c>
      <c r="I55" t="str">
        <f t="shared" si="0"/>
        <v>Jan-2024</v>
      </c>
      <c r="J55" s="2">
        <f t="shared" si="1"/>
        <v>1.3388406209941604E-2</v>
      </c>
    </row>
    <row r="56" spans="1:10" x14ac:dyDescent="0.3">
      <c r="A56">
        <v>1055</v>
      </c>
      <c r="B56" s="1">
        <v>45625</v>
      </c>
      <c r="C56" t="s">
        <v>8</v>
      </c>
      <c r="D56" t="s">
        <v>15</v>
      </c>
      <c r="E56" t="s">
        <v>20</v>
      </c>
      <c r="F56">
        <v>2</v>
      </c>
      <c r="G56">
        <v>18099</v>
      </c>
      <c r="H56">
        <v>-107</v>
      </c>
      <c r="I56" t="str">
        <f t="shared" si="0"/>
        <v>Nov-2024</v>
      </c>
      <c r="J56" s="2">
        <f t="shared" si="1"/>
        <v>-5.9119288358472841E-3</v>
      </c>
    </row>
    <row r="57" spans="1:10" x14ac:dyDescent="0.3">
      <c r="A57">
        <v>1056</v>
      </c>
      <c r="B57" s="1">
        <v>45465</v>
      </c>
      <c r="C57" t="s">
        <v>8</v>
      </c>
      <c r="D57" t="s">
        <v>11</v>
      </c>
      <c r="E57" t="s">
        <v>12</v>
      </c>
      <c r="F57">
        <v>2</v>
      </c>
      <c r="G57">
        <v>5054</v>
      </c>
      <c r="H57">
        <v>584</v>
      </c>
      <c r="I57" t="str">
        <f t="shared" si="0"/>
        <v>Jun-2024</v>
      </c>
      <c r="J57" s="2">
        <f t="shared" si="1"/>
        <v>0.11555203798971111</v>
      </c>
    </row>
    <row r="58" spans="1:10" x14ac:dyDescent="0.3">
      <c r="A58">
        <v>1057</v>
      </c>
      <c r="B58" s="1">
        <v>45314</v>
      </c>
      <c r="C58" t="s">
        <v>8</v>
      </c>
      <c r="D58" t="s">
        <v>15</v>
      </c>
      <c r="E58" t="s">
        <v>16</v>
      </c>
      <c r="F58">
        <v>1</v>
      </c>
      <c r="G58">
        <v>1604</v>
      </c>
      <c r="H58">
        <v>325</v>
      </c>
      <c r="I58" t="str">
        <f t="shared" si="0"/>
        <v>Jan-2024</v>
      </c>
      <c r="J58" s="2">
        <f t="shared" si="1"/>
        <v>0.20261845386533667</v>
      </c>
    </row>
    <row r="59" spans="1:10" x14ac:dyDescent="0.3">
      <c r="A59">
        <v>1058</v>
      </c>
      <c r="B59" s="1">
        <v>45359</v>
      </c>
      <c r="C59" t="s">
        <v>18</v>
      </c>
      <c r="D59" t="s">
        <v>15</v>
      </c>
      <c r="E59" t="s">
        <v>16</v>
      </c>
      <c r="F59">
        <v>1</v>
      </c>
      <c r="G59">
        <v>17271</v>
      </c>
      <c r="H59">
        <v>2244</v>
      </c>
      <c r="I59" t="str">
        <f t="shared" si="0"/>
        <v>Mar-2024</v>
      </c>
      <c r="J59" s="2">
        <f t="shared" si="1"/>
        <v>0.1299287823519194</v>
      </c>
    </row>
    <row r="60" spans="1:10" x14ac:dyDescent="0.3">
      <c r="A60">
        <v>1059</v>
      </c>
      <c r="B60" s="1">
        <v>45476</v>
      </c>
      <c r="C60" t="s">
        <v>18</v>
      </c>
      <c r="D60" t="s">
        <v>11</v>
      </c>
      <c r="E60" t="s">
        <v>17</v>
      </c>
      <c r="F60">
        <v>2</v>
      </c>
      <c r="G60">
        <v>13890</v>
      </c>
      <c r="H60">
        <v>367</v>
      </c>
      <c r="I60" t="str">
        <f t="shared" si="0"/>
        <v>Jul-2024</v>
      </c>
      <c r="J60" s="2">
        <f t="shared" si="1"/>
        <v>2.6421886249100072E-2</v>
      </c>
    </row>
    <row r="61" spans="1:10" x14ac:dyDescent="0.3">
      <c r="A61">
        <v>1060</v>
      </c>
      <c r="B61" s="1">
        <v>45471</v>
      </c>
      <c r="C61" t="s">
        <v>13</v>
      </c>
      <c r="D61" t="s">
        <v>9</v>
      </c>
      <c r="E61" t="s">
        <v>19</v>
      </c>
      <c r="F61">
        <v>2</v>
      </c>
      <c r="G61">
        <v>12633</v>
      </c>
      <c r="H61">
        <v>1881</v>
      </c>
      <c r="I61" t="str">
        <f t="shared" si="0"/>
        <v>Jun-2024</v>
      </c>
      <c r="J61" s="2">
        <f t="shared" si="1"/>
        <v>0.14889574922821183</v>
      </c>
    </row>
    <row r="62" spans="1:10" x14ac:dyDescent="0.3">
      <c r="A62">
        <v>1061</v>
      </c>
      <c r="B62" s="1">
        <v>45470</v>
      </c>
      <c r="C62" t="s">
        <v>18</v>
      </c>
      <c r="D62" t="s">
        <v>11</v>
      </c>
      <c r="E62" t="s">
        <v>22</v>
      </c>
      <c r="F62">
        <v>5</v>
      </c>
      <c r="G62">
        <v>3293</v>
      </c>
      <c r="H62">
        <v>140</v>
      </c>
      <c r="I62" t="str">
        <f t="shared" si="0"/>
        <v>Jun-2024</v>
      </c>
      <c r="J62" s="2">
        <f t="shared" si="1"/>
        <v>4.2514424536896446E-2</v>
      </c>
    </row>
    <row r="63" spans="1:10" x14ac:dyDescent="0.3">
      <c r="A63">
        <v>1062</v>
      </c>
      <c r="B63" s="1">
        <v>45379</v>
      </c>
      <c r="C63" t="s">
        <v>13</v>
      </c>
      <c r="D63" t="s">
        <v>11</v>
      </c>
      <c r="E63" t="s">
        <v>17</v>
      </c>
      <c r="F63">
        <v>2</v>
      </c>
      <c r="G63">
        <v>10855</v>
      </c>
      <c r="H63">
        <v>3520</v>
      </c>
      <c r="I63" t="str">
        <f t="shared" si="0"/>
        <v>Mar-2024</v>
      </c>
      <c r="J63" s="2">
        <f t="shared" si="1"/>
        <v>0.32427452786734223</v>
      </c>
    </row>
    <row r="64" spans="1:10" x14ac:dyDescent="0.3">
      <c r="A64">
        <v>1063</v>
      </c>
      <c r="B64" s="1">
        <v>45542</v>
      </c>
      <c r="C64" t="s">
        <v>18</v>
      </c>
      <c r="D64" t="s">
        <v>11</v>
      </c>
      <c r="E64" t="s">
        <v>17</v>
      </c>
      <c r="F64">
        <v>5</v>
      </c>
      <c r="G64">
        <v>19904</v>
      </c>
      <c r="H64">
        <v>-107</v>
      </c>
      <c r="I64" t="str">
        <f t="shared" si="0"/>
        <v>Sep-2024</v>
      </c>
      <c r="J64" s="2">
        <f t="shared" si="1"/>
        <v>-5.3758038585209004E-3</v>
      </c>
    </row>
    <row r="65" spans="1:10" x14ac:dyDescent="0.3">
      <c r="A65">
        <v>1064</v>
      </c>
      <c r="B65" s="1">
        <v>45357</v>
      </c>
      <c r="C65" t="s">
        <v>18</v>
      </c>
      <c r="D65" t="s">
        <v>9</v>
      </c>
      <c r="E65" t="s">
        <v>10</v>
      </c>
      <c r="F65">
        <v>5</v>
      </c>
      <c r="G65">
        <v>10870</v>
      </c>
      <c r="H65">
        <v>-498</v>
      </c>
      <c r="I65" t="str">
        <f t="shared" si="0"/>
        <v>Mar-2024</v>
      </c>
      <c r="J65" s="2">
        <f t="shared" si="1"/>
        <v>-4.5814167433302667E-2</v>
      </c>
    </row>
    <row r="66" spans="1:10" x14ac:dyDescent="0.3">
      <c r="A66">
        <v>1065</v>
      </c>
      <c r="B66" s="1">
        <v>45336</v>
      </c>
      <c r="C66" t="s">
        <v>8</v>
      </c>
      <c r="D66" t="s">
        <v>15</v>
      </c>
      <c r="E66" t="s">
        <v>16</v>
      </c>
      <c r="F66">
        <v>4</v>
      </c>
      <c r="G66">
        <v>18288</v>
      </c>
      <c r="H66">
        <v>3524</v>
      </c>
      <c r="I66" t="str">
        <f t="shared" si="0"/>
        <v>Feb-2024</v>
      </c>
      <c r="J66" s="2">
        <f t="shared" si="1"/>
        <v>0.19269466316710412</v>
      </c>
    </row>
    <row r="67" spans="1:10" x14ac:dyDescent="0.3">
      <c r="A67">
        <v>1066</v>
      </c>
      <c r="B67" s="1">
        <v>45325</v>
      </c>
      <c r="C67" t="s">
        <v>18</v>
      </c>
      <c r="D67" t="s">
        <v>15</v>
      </c>
      <c r="E67" t="s">
        <v>16</v>
      </c>
      <c r="F67">
        <v>4</v>
      </c>
      <c r="G67">
        <v>17806</v>
      </c>
      <c r="H67">
        <v>4414</v>
      </c>
      <c r="I67" t="str">
        <f t="shared" ref="I67:I130" si="2">TEXT(B67,"mmm-yyyy")</f>
        <v>Feb-2024</v>
      </c>
      <c r="J67" s="2">
        <f t="shared" ref="J67:J130" si="3">H67/G67</f>
        <v>0.24789396832528363</v>
      </c>
    </row>
    <row r="68" spans="1:10" x14ac:dyDescent="0.3">
      <c r="A68">
        <v>1067</v>
      </c>
      <c r="B68" s="1">
        <v>45378</v>
      </c>
      <c r="C68" t="s">
        <v>8</v>
      </c>
      <c r="D68" t="s">
        <v>15</v>
      </c>
      <c r="E68" t="s">
        <v>16</v>
      </c>
      <c r="F68">
        <v>3</v>
      </c>
      <c r="G68">
        <v>2305</v>
      </c>
      <c r="H68">
        <v>762</v>
      </c>
      <c r="I68" t="str">
        <f t="shared" si="2"/>
        <v>Mar-2024</v>
      </c>
      <c r="J68" s="2">
        <f t="shared" si="3"/>
        <v>0.33058568329718002</v>
      </c>
    </row>
    <row r="69" spans="1:10" x14ac:dyDescent="0.3">
      <c r="A69">
        <v>1068</v>
      </c>
      <c r="B69" s="1">
        <v>45487</v>
      </c>
      <c r="C69" t="s">
        <v>18</v>
      </c>
      <c r="D69" t="s">
        <v>11</v>
      </c>
      <c r="E69" t="s">
        <v>12</v>
      </c>
      <c r="F69">
        <v>2</v>
      </c>
      <c r="G69">
        <v>7688</v>
      </c>
      <c r="H69">
        <v>881</v>
      </c>
      <c r="I69" t="str">
        <f t="shared" si="2"/>
        <v>Jul-2024</v>
      </c>
      <c r="J69" s="2">
        <f t="shared" si="3"/>
        <v>0.11459417273673257</v>
      </c>
    </row>
    <row r="70" spans="1:10" x14ac:dyDescent="0.3">
      <c r="A70">
        <v>1069</v>
      </c>
      <c r="B70" s="1">
        <v>45348</v>
      </c>
      <c r="C70" t="s">
        <v>13</v>
      </c>
      <c r="D70" t="s">
        <v>11</v>
      </c>
      <c r="E70" t="s">
        <v>17</v>
      </c>
      <c r="F70">
        <v>5</v>
      </c>
      <c r="G70">
        <v>9060</v>
      </c>
      <c r="H70">
        <v>301</v>
      </c>
      <c r="I70" t="str">
        <f t="shared" si="2"/>
        <v>Feb-2024</v>
      </c>
      <c r="J70" s="2">
        <f t="shared" si="3"/>
        <v>3.3222958057395141E-2</v>
      </c>
    </row>
    <row r="71" spans="1:10" x14ac:dyDescent="0.3">
      <c r="A71">
        <v>1070</v>
      </c>
      <c r="B71" s="1">
        <v>45576</v>
      </c>
      <c r="C71" t="s">
        <v>13</v>
      </c>
      <c r="D71" t="s">
        <v>11</v>
      </c>
      <c r="E71" t="s">
        <v>22</v>
      </c>
      <c r="F71">
        <v>4</v>
      </c>
      <c r="G71">
        <v>11792</v>
      </c>
      <c r="H71">
        <v>-69</v>
      </c>
      <c r="I71" t="str">
        <f t="shared" si="2"/>
        <v>Oct-2024</v>
      </c>
      <c r="J71" s="2">
        <f t="shared" si="3"/>
        <v>-5.8514246947082771E-3</v>
      </c>
    </row>
    <row r="72" spans="1:10" x14ac:dyDescent="0.3">
      <c r="A72">
        <v>1071</v>
      </c>
      <c r="B72" s="1">
        <v>45311</v>
      </c>
      <c r="C72" t="s">
        <v>18</v>
      </c>
      <c r="D72" t="s">
        <v>15</v>
      </c>
      <c r="E72" t="s">
        <v>21</v>
      </c>
      <c r="F72">
        <v>4</v>
      </c>
      <c r="G72">
        <v>7700</v>
      </c>
      <c r="H72">
        <v>2257</v>
      </c>
      <c r="I72" t="str">
        <f t="shared" si="2"/>
        <v>Jan-2024</v>
      </c>
      <c r="J72" s="2">
        <f t="shared" si="3"/>
        <v>0.29311688311688311</v>
      </c>
    </row>
    <row r="73" spans="1:10" x14ac:dyDescent="0.3">
      <c r="A73">
        <v>1072</v>
      </c>
      <c r="B73" s="1">
        <v>45296</v>
      </c>
      <c r="C73" t="s">
        <v>13</v>
      </c>
      <c r="D73" t="s">
        <v>9</v>
      </c>
      <c r="E73" t="s">
        <v>19</v>
      </c>
      <c r="F73">
        <v>1</v>
      </c>
      <c r="G73">
        <v>14931</v>
      </c>
      <c r="H73">
        <v>3412</v>
      </c>
      <c r="I73" t="str">
        <f t="shared" si="2"/>
        <v>Jan-2024</v>
      </c>
      <c r="J73" s="2">
        <f t="shared" si="3"/>
        <v>0.22851784877101333</v>
      </c>
    </row>
    <row r="74" spans="1:10" x14ac:dyDescent="0.3">
      <c r="A74">
        <v>1073</v>
      </c>
      <c r="B74" s="1">
        <v>45370</v>
      </c>
      <c r="C74" t="s">
        <v>8</v>
      </c>
      <c r="D74" t="s">
        <v>15</v>
      </c>
      <c r="E74" t="s">
        <v>20</v>
      </c>
      <c r="F74">
        <v>3</v>
      </c>
      <c r="G74">
        <v>13442</v>
      </c>
      <c r="H74">
        <v>2071</v>
      </c>
      <c r="I74" t="str">
        <f t="shared" si="2"/>
        <v>Mar-2024</v>
      </c>
      <c r="J74" s="2">
        <f t="shared" si="3"/>
        <v>0.15406933492039876</v>
      </c>
    </row>
    <row r="75" spans="1:10" x14ac:dyDescent="0.3">
      <c r="A75">
        <v>1074</v>
      </c>
      <c r="B75" s="1">
        <v>45373</v>
      </c>
      <c r="C75" t="s">
        <v>18</v>
      </c>
      <c r="D75" t="s">
        <v>15</v>
      </c>
      <c r="E75" t="s">
        <v>20</v>
      </c>
      <c r="F75">
        <v>4</v>
      </c>
      <c r="G75">
        <v>17294</v>
      </c>
      <c r="H75">
        <v>5058</v>
      </c>
      <c r="I75" t="str">
        <f t="shared" si="2"/>
        <v>Mar-2024</v>
      </c>
      <c r="J75" s="2">
        <f t="shared" si="3"/>
        <v>0.29247137735630857</v>
      </c>
    </row>
    <row r="76" spans="1:10" x14ac:dyDescent="0.3">
      <c r="A76">
        <v>1075</v>
      </c>
      <c r="B76" s="1">
        <v>45334</v>
      </c>
      <c r="C76" t="s">
        <v>18</v>
      </c>
      <c r="D76" t="s">
        <v>15</v>
      </c>
      <c r="E76" t="s">
        <v>20</v>
      </c>
      <c r="F76">
        <v>4</v>
      </c>
      <c r="G76">
        <v>15566</v>
      </c>
      <c r="H76">
        <v>2988</v>
      </c>
      <c r="I76" t="str">
        <f t="shared" si="2"/>
        <v>Feb-2024</v>
      </c>
      <c r="J76" s="2">
        <f t="shared" si="3"/>
        <v>0.19195682898625208</v>
      </c>
    </row>
    <row r="77" spans="1:10" x14ac:dyDescent="0.3">
      <c r="A77">
        <v>1076</v>
      </c>
      <c r="B77" s="1">
        <v>45328</v>
      </c>
      <c r="C77" t="s">
        <v>13</v>
      </c>
      <c r="D77" t="s">
        <v>15</v>
      </c>
      <c r="E77" t="s">
        <v>20</v>
      </c>
      <c r="F77">
        <v>1</v>
      </c>
      <c r="G77">
        <v>9909</v>
      </c>
      <c r="H77">
        <v>1018</v>
      </c>
      <c r="I77" t="str">
        <f t="shared" si="2"/>
        <v>Feb-2024</v>
      </c>
      <c r="J77" s="2">
        <f t="shared" si="3"/>
        <v>0.10273488747603189</v>
      </c>
    </row>
    <row r="78" spans="1:10" x14ac:dyDescent="0.3">
      <c r="A78">
        <v>1077</v>
      </c>
      <c r="B78" s="1">
        <v>45524</v>
      </c>
      <c r="C78" t="s">
        <v>8</v>
      </c>
      <c r="D78" t="s">
        <v>15</v>
      </c>
      <c r="E78" t="s">
        <v>20</v>
      </c>
      <c r="F78">
        <v>2</v>
      </c>
      <c r="G78">
        <v>3209</v>
      </c>
      <c r="H78">
        <v>769</v>
      </c>
      <c r="I78" t="str">
        <f t="shared" si="2"/>
        <v>Aug-2024</v>
      </c>
      <c r="J78" s="2">
        <f t="shared" si="3"/>
        <v>0.2396385166718604</v>
      </c>
    </row>
    <row r="79" spans="1:10" x14ac:dyDescent="0.3">
      <c r="A79">
        <v>1078</v>
      </c>
      <c r="B79" s="1">
        <v>45505</v>
      </c>
      <c r="C79" t="s">
        <v>13</v>
      </c>
      <c r="D79" t="s">
        <v>15</v>
      </c>
      <c r="E79" t="s">
        <v>20</v>
      </c>
      <c r="F79">
        <v>5</v>
      </c>
      <c r="G79">
        <v>13480</v>
      </c>
      <c r="H79">
        <v>692</v>
      </c>
      <c r="I79" t="str">
        <f t="shared" si="2"/>
        <v>Aug-2024</v>
      </c>
      <c r="J79" s="2">
        <f t="shared" si="3"/>
        <v>5.1335311572700298E-2</v>
      </c>
    </row>
    <row r="80" spans="1:10" x14ac:dyDescent="0.3">
      <c r="A80">
        <v>1079</v>
      </c>
      <c r="B80" s="1">
        <v>45377</v>
      </c>
      <c r="C80" t="s">
        <v>8</v>
      </c>
      <c r="D80" t="s">
        <v>9</v>
      </c>
      <c r="E80" t="s">
        <v>10</v>
      </c>
      <c r="F80">
        <v>4</v>
      </c>
      <c r="G80">
        <v>6776</v>
      </c>
      <c r="H80">
        <v>558</v>
      </c>
      <c r="I80" t="str">
        <f t="shared" si="2"/>
        <v>Mar-2024</v>
      </c>
      <c r="J80" s="2">
        <f t="shared" si="3"/>
        <v>8.234946871310507E-2</v>
      </c>
    </row>
    <row r="81" spans="1:10" x14ac:dyDescent="0.3">
      <c r="A81">
        <v>1080</v>
      </c>
      <c r="B81" s="1">
        <v>45398</v>
      </c>
      <c r="C81" t="s">
        <v>18</v>
      </c>
      <c r="D81" t="s">
        <v>11</v>
      </c>
      <c r="E81" t="s">
        <v>12</v>
      </c>
      <c r="F81">
        <v>1</v>
      </c>
      <c r="G81">
        <v>13054</v>
      </c>
      <c r="H81">
        <v>4073</v>
      </c>
      <c r="I81" t="str">
        <f t="shared" si="2"/>
        <v>Apr-2024</v>
      </c>
      <c r="J81" s="2">
        <f t="shared" si="3"/>
        <v>0.31201164394055464</v>
      </c>
    </row>
    <row r="82" spans="1:10" x14ac:dyDescent="0.3">
      <c r="A82">
        <v>1081</v>
      </c>
      <c r="B82" s="1">
        <v>45638</v>
      </c>
      <c r="C82" t="s">
        <v>8</v>
      </c>
      <c r="D82" t="s">
        <v>11</v>
      </c>
      <c r="E82" t="s">
        <v>17</v>
      </c>
      <c r="F82">
        <v>4</v>
      </c>
      <c r="G82">
        <v>4229</v>
      </c>
      <c r="H82">
        <v>982</v>
      </c>
      <c r="I82" t="str">
        <f t="shared" si="2"/>
        <v>Dec-2024</v>
      </c>
      <c r="J82" s="2">
        <f t="shared" si="3"/>
        <v>0.2322061953180421</v>
      </c>
    </row>
    <row r="83" spans="1:10" x14ac:dyDescent="0.3">
      <c r="A83">
        <v>1082</v>
      </c>
      <c r="B83" s="1">
        <v>45314</v>
      </c>
      <c r="C83" t="s">
        <v>8</v>
      </c>
      <c r="D83" t="s">
        <v>9</v>
      </c>
      <c r="E83" t="s">
        <v>19</v>
      </c>
      <c r="F83">
        <v>4</v>
      </c>
      <c r="G83">
        <v>9504</v>
      </c>
      <c r="H83">
        <v>71</v>
      </c>
      <c r="I83" t="str">
        <f t="shared" si="2"/>
        <v>Jan-2024</v>
      </c>
      <c r="J83" s="2">
        <f t="shared" si="3"/>
        <v>7.4705387205387204E-3</v>
      </c>
    </row>
    <row r="84" spans="1:10" x14ac:dyDescent="0.3">
      <c r="A84">
        <v>1083</v>
      </c>
      <c r="B84" s="1">
        <v>45542</v>
      </c>
      <c r="C84" t="s">
        <v>8</v>
      </c>
      <c r="D84" t="s">
        <v>11</v>
      </c>
      <c r="E84" t="s">
        <v>12</v>
      </c>
      <c r="F84">
        <v>1</v>
      </c>
      <c r="G84">
        <v>4203</v>
      </c>
      <c r="H84">
        <v>506</v>
      </c>
      <c r="I84" t="str">
        <f t="shared" si="2"/>
        <v>Sep-2024</v>
      </c>
      <c r="J84" s="2">
        <f t="shared" si="3"/>
        <v>0.12039019747799191</v>
      </c>
    </row>
    <row r="85" spans="1:10" x14ac:dyDescent="0.3">
      <c r="A85">
        <v>1084</v>
      </c>
      <c r="B85" s="1">
        <v>45319</v>
      </c>
      <c r="C85" t="s">
        <v>13</v>
      </c>
      <c r="D85" t="s">
        <v>9</v>
      </c>
      <c r="E85" t="s">
        <v>10</v>
      </c>
      <c r="F85">
        <v>5</v>
      </c>
      <c r="G85">
        <v>3669</v>
      </c>
      <c r="H85">
        <v>144</v>
      </c>
      <c r="I85" t="str">
        <f t="shared" si="2"/>
        <v>Jan-2024</v>
      </c>
      <c r="J85" s="2">
        <f t="shared" si="3"/>
        <v>3.9247751430907606E-2</v>
      </c>
    </row>
    <row r="86" spans="1:10" x14ac:dyDescent="0.3">
      <c r="A86">
        <v>1085</v>
      </c>
      <c r="B86" s="1">
        <v>45334</v>
      </c>
      <c r="C86" t="s">
        <v>8</v>
      </c>
      <c r="D86" t="s">
        <v>11</v>
      </c>
      <c r="E86" t="s">
        <v>12</v>
      </c>
      <c r="F86">
        <v>3</v>
      </c>
      <c r="G86">
        <v>3149</v>
      </c>
      <c r="H86">
        <v>1085</v>
      </c>
      <c r="I86" t="str">
        <f t="shared" si="2"/>
        <v>Feb-2024</v>
      </c>
      <c r="J86" s="2">
        <f t="shared" si="3"/>
        <v>0.34455382661162276</v>
      </c>
    </row>
    <row r="87" spans="1:10" x14ac:dyDescent="0.3">
      <c r="A87">
        <v>1086</v>
      </c>
      <c r="B87" s="1">
        <v>45476</v>
      </c>
      <c r="C87" t="s">
        <v>13</v>
      </c>
      <c r="D87" t="s">
        <v>11</v>
      </c>
      <c r="E87" t="s">
        <v>12</v>
      </c>
      <c r="F87">
        <v>4</v>
      </c>
      <c r="G87">
        <v>4643</v>
      </c>
      <c r="H87">
        <v>-481</v>
      </c>
      <c r="I87" t="str">
        <f t="shared" si="2"/>
        <v>Jul-2024</v>
      </c>
      <c r="J87" s="2">
        <f t="shared" si="3"/>
        <v>-0.10359681240577213</v>
      </c>
    </row>
    <row r="88" spans="1:10" x14ac:dyDescent="0.3">
      <c r="A88">
        <v>1087</v>
      </c>
      <c r="B88" s="1">
        <v>45611</v>
      </c>
      <c r="C88" t="s">
        <v>8</v>
      </c>
      <c r="D88" t="s">
        <v>11</v>
      </c>
      <c r="E88" t="s">
        <v>22</v>
      </c>
      <c r="F88">
        <v>4</v>
      </c>
      <c r="G88">
        <v>2948</v>
      </c>
      <c r="H88">
        <v>623</v>
      </c>
      <c r="I88" t="str">
        <f t="shared" si="2"/>
        <v>Nov-2024</v>
      </c>
      <c r="J88" s="2">
        <f t="shared" si="3"/>
        <v>0.21132971506105835</v>
      </c>
    </row>
    <row r="89" spans="1:10" x14ac:dyDescent="0.3">
      <c r="A89">
        <v>1088</v>
      </c>
      <c r="B89" s="1">
        <v>45621</v>
      </c>
      <c r="C89" t="s">
        <v>13</v>
      </c>
      <c r="D89" t="s">
        <v>9</v>
      </c>
      <c r="E89" t="s">
        <v>14</v>
      </c>
      <c r="F89">
        <v>4</v>
      </c>
      <c r="G89">
        <v>6057</v>
      </c>
      <c r="H89">
        <v>1840</v>
      </c>
      <c r="I89" t="str">
        <f t="shared" si="2"/>
        <v>Nov-2024</v>
      </c>
      <c r="J89" s="2">
        <f t="shared" si="3"/>
        <v>0.30378074954597983</v>
      </c>
    </row>
    <row r="90" spans="1:10" x14ac:dyDescent="0.3">
      <c r="A90">
        <v>1089</v>
      </c>
      <c r="B90" s="1">
        <v>45585</v>
      </c>
      <c r="C90" t="s">
        <v>8</v>
      </c>
      <c r="D90" t="s">
        <v>9</v>
      </c>
      <c r="E90" t="s">
        <v>10</v>
      </c>
      <c r="F90">
        <v>4</v>
      </c>
      <c r="G90">
        <v>8133</v>
      </c>
      <c r="H90">
        <v>1758</v>
      </c>
      <c r="I90" t="str">
        <f t="shared" si="2"/>
        <v>Oct-2024</v>
      </c>
      <c r="J90" s="2">
        <f t="shared" si="3"/>
        <v>0.21615639985245297</v>
      </c>
    </row>
    <row r="91" spans="1:10" x14ac:dyDescent="0.3">
      <c r="A91">
        <v>1090</v>
      </c>
      <c r="B91" s="1">
        <v>45384</v>
      </c>
      <c r="C91" t="s">
        <v>8</v>
      </c>
      <c r="D91" t="s">
        <v>11</v>
      </c>
      <c r="E91" t="s">
        <v>22</v>
      </c>
      <c r="F91">
        <v>1</v>
      </c>
      <c r="G91">
        <v>13408</v>
      </c>
      <c r="H91">
        <v>3539</v>
      </c>
      <c r="I91" t="str">
        <f t="shared" si="2"/>
        <v>Apr-2024</v>
      </c>
      <c r="J91" s="2">
        <f t="shared" si="3"/>
        <v>0.26394689737470167</v>
      </c>
    </row>
    <row r="92" spans="1:10" x14ac:dyDescent="0.3">
      <c r="A92">
        <v>1091</v>
      </c>
      <c r="B92" s="1">
        <v>45500</v>
      </c>
      <c r="C92" t="s">
        <v>13</v>
      </c>
      <c r="D92" t="s">
        <v>9</v>
      </c>
      <c r="E92" t="s">
        <v>14</v>
      </c>
      <c r="F92">
        <v>3</v>
      </c>
      <c r="G92">
        <v>15049</v>
      </c>
      <c r="H92">
        <v>5005</v>
      </c>
      <c r="I92" t="str">
        <f t="shared" si="2"/>
        <v>Jul-2024</v>
      </c>
      <c r="J92" s="2">
        <f t="shared" si="3"/>
        <v>0.33258023788956076</v>
      </c>
    </row>
    <row r="93" spans="1:10" x14ac:dyDescent="0.3">
      <c r="A93">
        <v>1092</v>
      </c>
      <c r="B93" s="1">
        <v>45394</v>
      </c>
      <c r="C93" t="s">
        <v>13</v>
      </c>
      <c r="D93" t="s">
        <v>11</v>
      </c>
      <c r="E93" t="s">
        <v>17</v>
      </c>
      <c r="F93">
        <v>5</v>
      </c>
      <c r="G93">
        <v>2022</v>
      </c>
      <c r="H93">
        <v>368</v>
      </c>
      <c r="I93" t="str">
        <f t="shared" si="2"/>
        <v>Apr-2024</v>
      </c>
      <c r="J93" s="2">
        <f t="shared" si="3"/>
        <v>0.18199802176063304</v>
      </c>
    </row>
    <row r="94" spans="1:10" x14ac:dyDescent="0.3">
      <c r="A94">
        <v>1093</v>
      </c>
      <c r="B94" s="1">
        <v>45468</v>
      </c>
      <c r="C94" t="s">
        <v>18</v>
      </c>
      <c r="D94" t="s">
        <v>11</v>
      </c>
      <c r="E94" t="s">
        <v>22</v>
      </c>
      <c r="F94">
        <v>2</v>
      </c>
      <c r="G94">
        <v>7990</v>
      </c>
      <c r="H94">
        <v>2048</v>
      </c>
      <c r="I94" t="str">
        <f t="shared" si="2"/>
        <v>Jun-2024</v>
      </c>
      <c r="J94" s="2">
        <f t="shared" si="3"/>
        <v>0.25632040050062577</v>
      </c>
    </row>
    <row r="95" spans="1:10" x14ac:dyDescent="0.3">
      <c r="A95">
        <v>1094</v>
      </c>
      <c r="B95" s="1">
        <v>45607</v>
      </c>
      <c r="C95" t="s">
        <v>13</v>
      </c>
      <c r="D95" t="s">
        <v>9</v>
      </c>
      <c r="E95" t="s">
        <v>10</v>
      </c>
      <c r="F95">
        <v>1</v>
      </c>
      <c r="G95">
        <v>15974</v>
      </c>
      <c r="H95">
        <v>3681</v>
      </c>
      <c r="I95" t="str">
        <f t="shared" si="2"/>
        <v>Nov-2024</v>
      </c>
      <c r="J95" s="2">
        <f t="shared" si="3"/>
        <v>0.23043696006009765</v>
      </c>
    </row>
    <row r="96" spans="1:10" x14ac:dyDescent="0.3">
      <c r="A96">
        <v>1095</v>
      </c>
      <c r="B96" s="1">
        <v>45373</v>
      </c>
      <c r="C96" t="s">
        <v>18</v>
      </c>
      <c r="D96" t="s">
        <v>9</v>
      </c>
      <c r="E96" t="s">
        <v>19</v>
      </c>
      <c r="F96">
        <v>1</v>
      </c>
      <c r="G96">
        <v>2800</v>
      </c>
      <c r="H96">
        <v>-61</v>
      </c>
      <c r="I96" t="str">
        <f t="shared" si="2"/>
        <v>Mar-2024</v>
      </c>
      <c r="J96" s="2">
        <f t="shared" si="3"/>
        <v>-2.1785714285714287E-2</v>
      </c>
    </row>
    <row r="97" spans="1:10" x14ac:dyDescent="0.3">
      <c r="A97">
        <v>1096</v>
      </c>
      <c r="B97" s="1">
        <v>45651</v>
      </c>
      <c r="C97" t="s">
        <v>13</v>
      </c>
      <c r="D97" t="s">
        <v>11</v>
      </c>
      <c r="E97" t="s">
        <v>22</v>
      </c>
      <c r="F97">
        <v>1</v>
      </c>
      <c r="G97">
        <v>16583</v>
      </c>
      <c r="H97">
        <v>2704</v>
      </c>
      <c r="I97" t="str">
        <f t="shared" si="2"/>
        <v>Dec-2024</v>
      </c>
      <c r="J97" s="2">
        <f t="shared" si="3"/>
        <v>0.16305855394078272</v>
      </c>
    </row>
    <row r="98" spans="1:10" x14ac:dyDescent="0.3">
      <c r="A98">
        <v>1097</v>
      </c>
      <c r="B98" s="1">
        <v>45317</v>
      </c>
      <c r="C98" t="s">
        <v>18</v>
      </c>
      <c r="D98" t="s">
        <v>11</v>
      </c>
      <c r="E98" t="s">
        <v>12</v>
      </c>
      <c r="F98">
        <v>2</v>
      </c>
      <c r="G98">
        <v>2890</v>
      </c>
      <c r="H98">
        <v>631</v>
      </c>
      <c r="I98" t="str">
        <f t="shared" si="2"/>
        <v>Jan-2024</v>
      </c>
      <c r="J98" s="2">
        <f t="shared" si="3"/>
        <v>0.21833910034602075</v>
      </c>
    </row>
    <row r="99" spans="1:10" x14ac:dyDescent="0.3">
      <c r="A99">
        <v>1098</v>
      </c>
      <c r="B99" s="1">
        <v>45624</v>
      </c>
      <c r="C99" t="s">
        <v>13</v>
      </c>
      <c r="D99" t="s">
        <v>11</v>
      </c>
      <c r="E99" t="s">
        <v>12</v>
      </c>
      <c r="F99">
        <v>3</v>
      </c>
      <c r="G99">
        <v>6726</v>
      </c>
      <c r="H99">
        <v>368</v>
      </c>
      <c r="I99" t="str">
        <f t="shared" si="2"/>
        <v>Nov-2024</v>
      </c>
      <c r="J99" s="2">
        <f t="shared" si="3"/>
        <v>5.471305382099316E-2</v>
      </c>
    </row>
    <row r="100" spans="1:10" x14ac:dyDescent="0.3">
      <c r="A100">
        <v>1099</v>
      </c>
      <c r="B100" s="1">
        <v>45425</v>
      </c>
      <c r="C100" t="s">
        <v>13</v>
      </c>
      <c r="D100" t="s">
        <v>11</v>
      </c>
      <c r="E100" t="s">
        <v>17</v>
      </c>
      <c r="F100">
        <v>2</v>
      </c>
      <c r="G100">
        <v>17303</v>
      </c>
      <c r="H100">
        <v>296</v>
      </c>
      <c r="I100" t="str">
        <f t="shared" si="2"/>
        <v>May-2024</v>
      </c>
      <c r="J100" s="2">
        <f t="shared" si="3"/>
        <v>1.7106860082066695E-2</v>
      </c>
    </row>
    <row r="101" spans="1:10" x14ac:dyDescent="0.3">
      <c r="A101">
        <v>1100</v>
      </c>
      <c r="B101" s="1">
        <v>45623</v>
      </c>
      <c r="C101" t="s">
        <v>8</v>
      </c>
      <c r="D101" t="s">
        <v>9</v>
      </c>
      <c r="E101" t="s">
        <v>19</v>
      </c>
      <c r="F101">
        <v>3</v>
      </c>
      <c r="G101">
        <v>10032</v>
      </c>
      <c r="H101">
        <v>2094</v>
      </c>
      <c r="I101" t="str">
        <f t="shared" si="2"/>
        <v>Nov-2024</v>
      </c>
      <c r="J101" s="2">
        <f t="shared" si="3"/>
        <v>0.20873205741626794</v>
      </c>
    </row>
    <row r="102" spans="1:10" x14ac:dyDescent="0.3">
      <c r="A102">
        <v>1101</v>
      </c>
      <c r="B102" s="1">
        <v>45561</v>
      </c>
      <c r="C102" t="s">
        <v>8</v>
      </c>
      <c r="D102" t="s">
        <v>15</v>
      </c>
      <c r="E102" t="s">
        <v>21</v>
      </c>
      <c r="F102">
        <v>5</v>
      </c>
      <c r="G102">
        <v>6446</v>
      </c>
      <c r="H102">
        <v>1265</v>
      </c>
      <c r="I102" t="str">
        <f t="shared" si="2"/>
        <v>Sep-2024</v>
      </c>
      <c r="J102" s="2">
        <f t="shared" si="3"/>
        <v>0.19624573378839591</v>
      </c>
    </row>
    <row r="103" spans="1:10" x14ac:dyDescent="0.3">
      <c r="A103">
        <v>1102</v>
      </c>
      <c r="B103" s="1">
        <v>45636</v>
      </c>
      <c r="C103" t="s">
        <v>18</v>
      </c>
      <c r="D103" t="s">
        <v>9</v>
      </c>
      <c r="E103" t="s">
        <v>10</v>
      </c>
      <c r="F103">
        <v>4</v>
      </c>
      <c r="G103">
        <v>15562</v>
      </c>
      <c r="H103">
        <v>5055</v>
      </c>
      <c r="I103" t="str">
        <f t="shared" si="2"/>
        <v>Dec-2024</v>
      </c>
      <c r="J103" s="2">
        <f t="shared" si="3"/>
        <v>0.32482971340444672</v>
      </c>
    </row>
    <row r="104" spans="1:10" x14ac:dyDescent="0.3">
      <c r="A104">
        <v>1103</v>
      </c>
      <c r="B104" s="1">
        <v>45305</v>
      </c>
      <c r="C104" t="s">
        <v>18</v>
      </c>
      <c r="D104" t="s">
        <v>9</v>
      </c>
      <c r="E104" t="s">
        <v>14</v>
      </c>
      <c r="F104">
        <v>1</v>
      </c>
      <c r="G104">
        <v>15379</v>
      </c>
      <c r="H104">
        <v>183</v>
      </c>
      <c r="I104" t="str">
        <f t="shared" si="2"/>
        <v>Jan-2024</v>
      </c>
      <c r="J104" s="2">
        <f t="shared" si="3"/>
        <v>1.1899343260290006E-2</v>
      </c>
    </row>
    <row r="105" spans="1:10" x14ac:dyDescent="0.3">
      <c r="A105">
        <v>1104</v>
      </c>
      <c r="B105" s="1">
        <v>45371</v>
      </c>
      <c r="C105" t="s">
        <v>8</v>
      </c>
      <c r="D105" t="s">
        <v>15</v>
      </c>
      <c r="E105" t="s">
        <v>16</v>
      </c>
      <c r="F105">
        <v>1</v>
      </c>
      <c r="G105">
        <v>12065</v>
      </c>
      <c r="H105">
        <v>2780</v>
      </c>
      <c r="I105" t="str">
        <f t="shared" si="2"/>
        <v>Mar-2024</v>
      </c>
      <c r="J105" s="2">
        <f t="shared" si="3"/>
        <v>0.2304185661002901</v>
      </c>
    </row>
    <row r="106" spans="1:10" x14ac:dyDescent="0.3">
      <c r="A106">
        <v>1105</v>
      </c>
      <c r="B106" s="1">
        <v>45625</v>
      </c>
      <c r="C106" t="s">
        <v>18</v>
      </c>
      <c r="D106" t="s">
        <v>15</v>
      </c>
      <c r="E106" t="s">
        <v>16</v>
      </c>
      <c r="F106">
        <v>5</v>
      </c>
      <c r="G106">
        <v>5074</v>
      </c>
      <c r="H106">
        <v>1829</v>
      </c>
      <c r="I106" t="str">
        <f t="shared" si="2"/>
        <v>Nov-2024</v>
      </c>
      <c r="J106" s="2">
        <f t="shared" si="3"/>
        <v>0.36046511627906974</v>
      </c>
    </row>
    <row r="107" spans="1:10" x14ac:dyDescent="0.3">
      <c r="A107">
        <v>1106</v>
      </c>
      <c r="B107" s="1">
        <v>45456</v>
      </c>
      <c r="C107" t="s">
        <v>18</v>
      </c>
      <c r="D107" t="s">
        <v>11</v>
      </c>
      <c r="E107" t="s">
        <v>12</v>
      </c>
      <c r="F107">
        <v>3</v>
      </c>
      <c r="G107">
        <v>4202</v>
      </c>
      <c r="H107">
        <v>757</v>
      </c>
      <c r="I107" t="str">
        <f t="shared" si="2"/>
        <v>Jun-2024</v>
      </c>
      <c r="J107" s="2">
        <f t="shared" si="3"/>
        <v>0.18015230842455973</v>
      </c>
    </row>
    <row r="108" spans="1:10" x14ac:dyDescent="0.3">
      <c r="A108">
        <v>1107</v>
      </c>
      <c r="B108" s="1">
        <v>45451</v>
      </c>
      <c r="C108" t="s">
        <v>18</v>
      </c>
      <c r="D108" t="s">
        <v>11</v>
      </c>
      <c r="E108" t="s">
        <v>17</v>
      </c>
      <c r="F108">
        <v>5</v>
      </c>
      <c r="G108">
        <v>5663</v>
      </c>
      <c r="H108">
        <v>54</v>
      </c>
      <c r="I108" t="str">
        <f t="shared" si="2"/>
        <v>Jun-2024</v>
      </c>
      <c r="J108" s="2">
        <f t="shared" si="3"/>
        <v>9.5355818470775205E-3</v>
      </c>
    </row>
    <row r="109" spans="1:10" x14ac:dyDescent="0.3">
      <c r="A109">
        <v>1108</v>
      </c>
      <c r="B109" s="1">
        <v>45433</v>
      </c>
      <c r="C109" t="s">
        <v>13</v>
      </c>
      <c r="D109" t="s">
        <v>9</v>
      </c>
      <c r="E109" t="s">
        <v>19</v>
      </c>
      <c r="F109">
        <v>2</v>
      </c>
      <c r="G109">
        <v>10567</v>
      </c>
      <c r="H109">
        <v>3978</v>
      </c>
      <c r="I109" t="str">
        <f t="shared" si="2"/>
        <v>May-2024</v>
      </c>
      <c r="J109" s="2">
        <f t="shared" si="3"/>
        <v>0.3764550014195136</v>
      </c>
    </row>
    <row r="110" spans="1:10" x14ac:dyDescent="0.3">
      <c r="A110">
        <v>1109</v>
      </c>
      <c r="B110" s="1">
        <v>45307</v>
      </c>
      <c r="C110" t="s">
        <v>8</v>
      </c>
      <c r="D110" t="s">
        <v>15</v>
      </c>
      <c r="E110" t="s">
        <v>21</v>
      </c>
      <c r="F110">
        <v>2</v>
      </c>
      <c r="G110">
        <v>4136</v>
      </c>
      <c r="H110">
        <v>-142</v>
      </c>
      <c r="I110" t="str">
        <f t="shared" si="2"/>
        <v>Jan-2024</v>
      </c>
      <c r="J110" s="2">
        <f t="shared" si="3"/>
        <v>-3.433268858800774E-2</v>
      </c>
    </row>
    <row r="111" spans="1:10" x14ac:dyDescent="0.3">
      <c r="A111">
        <v>1110</v>
      </c>
      <c r="B111" s="1">
        <v>45559</v>
      </c>
      <c r="C111" t="s">
        <v>8</v>
      </c>
      <c r="D111" t="s">
        <v>11</v>
      </c>
      <c r="E111" t="s">
        <v>22</v>
      </c>
      <c r="F111">
        <v>2</v>
      </c>
      <c r="G111">
        <v>16558</v>
      </c>
      <c r="H111">
        <v>2711</v>
      </c>
      <c r="I111" t="str">
        <f t="shared" si="2"/>
        <v>Sep-2024</v>
      </c>
      <c r="J111" s="2">
        <f t="shared" si="3"/>
        <v>0.1637275033216572</v>
      </c>
    </row>
    <row r="112" spans="1:10" x14ac:dyDescent="0.3">
      <c r="A112">
        <v>1111</v>
      </c>
      <c r="B112" s="1">
        <v>45407</v>
      </c>
      <c r="C112" t="s">
        <v>18</v>
      </c>
      <c r="D112" t="s">
        <v>11</v>
      </c>
      <c r="E112" t="s">
        <v>12</v>
      </c>
      <c r="F112">
        <v>4</v>
      </c>
      <c r="G112">
        <v>11052</v>
      </c>
      <c r="H112">
        <v>1643</v>
      </c>
      <c r="I112" t="str">
        <f t="shared" si="2"/>
        <v>Apr-2024</v>
      </c>
      <c r="J112" s="2">
        <f t="shared" si="3"/>
        <v>0.14866087585957294</v>
      </c>
    </row>
    <row r="113" spans="1:10" x14ac:dyDescent="0.3">
      <c r="A113">
        <v>1112</v>
      </c>
      <c r="B113" s="1">
        <v>45632</v>
      </c>
      <c r="C113" t="s">
        <v>13</v>
      </c>
      <c r="D113" t="s">
        <v>15</v>
      </c>
      <c r="E113" t="s">
        <v>21</v>
      </c>
      <c r="F113">
        <v>2</v>
      </c>
      <c r="G113">
        <v>15026</v>
      </c>
      <c r="H113">
        <v>4996</v>
      </c>
      <c r="I113" t="str">
        <f t="shared" si="2"/>
        <v>Dec-2024</v>
      </c>
      <c r="J113" s="2">
        <f t="shared" si="3"/>
        <v>0.33249035005989619</v>
      </c>
    </row>
    <row r="114" spans="1:10" x14ac:dyDescent="0.3">
      <c r="A114">
        <v>1113</v>
      </c>
      <c r="B114" s="1">
        <v>45365</v>
      </c>
      <c r="C114" t="s">
        <v>8</v>
      </c>
      <c r="D114" t="s">
        <v>15</v>
      </c>
      <c r="E114" t="s">
        <v>16</v>
      </c>
      <c r="F114">
        <v>5</v>
      </c>
      <c r="G114">
        <v>8165</v>
      </c>
      <c r="H114">
        <v>1926</v>
      </c>
      <c r="I114" t="str">
        <f t="shared" si="2"/>
        <v>Mar-2024</v>
      </c>
      <c r="J114" s="2">
        <f t="shared" si="3"/>
        <v>0.23588487446417636</v>
      </c>
    </row>
    <row r="115" spans="1:10" x14ac:dyDescent="0.3">
      <c r="A115">
        <v>1114</v>
      </c>
      <c r="B115" s="1">
        <v>45629</v>
      </c>
      <c r="C115" t="s">
        <v>18</v>
      </c>
      <c r="D115" t="s">
        <v>9</v>
      </c>
      <c r="E115" t="s">
        <v>19</v>
      </c>
      <c r="F115">
        <v>4</v>
      </c>
      <c r="G115">
        <v>10211</v>
      </c>
      <c r="H115">
        <v>2384</v>
      </c>
      <c r="I115" t="str">
        <f t="shared" si="2"/>
        <v>Dec-2024</v>
      </c>
      <c r="J115" s="2">
        <f t="shared" si="3"/>
        <v>0.23347370482812654</v>
      </c>
    </row>
    <row r="116" spans="1:10" x14ac:dyDescent="0.3">
      <c r="A116">
        <v>1115</v>
      </c>
      <c r="B116" s="1">
        <v>45490</v>
      </c>
      <c r="C116" t="s">
        <v>8</v>
      </c>
      <c r="D116" t="s">
        <v>15</v>
      </c>
      <c r="E116" t="s">
        <v>20</v>
      </c>
      <c r="F116">
        <v>5</v>
      </c>
      <c r="G116">
        <v>6385</v>
      </c>
      <c r="H116">
        <v>-130</v>
      </c>
      <c r="I116" t="str">
        <f t="shared" si="2"/>
        <v>Jul-2024</v>
      </c>
      <c r="J116" s="2">
        <f t="shared" si="3"/>
        <v>-2.0360219263899765E-2</v>
      </c>
    </row>
    <row r="117" spans="1:10" x14ac:dyDescent="0.3">
      <c r="A117">
        <v>1116</v>
      </c>
      <c r="B117" s="1">
        <v>45296</v>
      </c>
      <c r="C117" t="s">
        <v>18</v>
      </c>
      <c r="D117" t="s">
        <v>9</v>
      </c>
      <c r="E117" t="s">
        <v>14</v>
      </c>
      <c r="F117">
        <v>4</v>
      </c>
      <c r="G117">
        <v>17412</v>
      </c>
      <c r="H117">
        <v>3303</v>
      </c>
      <c r="I117" t="str">
        <f t="shared" si="2"/>
        <v>Jan-2024</v>
      </c>
      <c r="J117" s="2">
        <f t="shared" si="3"/>
        <v>0.18969676085458304</v>
      </c>
    </row>
    <row r="118" spans="1:10" x14ac:dyDescent="0.3">
      <c r="A118">
        <v>1117</v>
      </c>
      <c r="B118" s="1">
        <v>45540</v>
      </c>
      <c r="C118" t="s">
        <v>18</v>
      </c>
      <c r="D118" t="s">
        <v>15</v>
      </c>
      <c r="E118" t="s">
        <v>21</v>
      </c>
      <c r="F118">
        <v>3</v>
      </c>
      <c r="G118">
        <v>8387</v>
      </c>
      <c r="H118">
        <v>3258</v>
      </c>
      <c r="I118" t="str">
        <f t="shared" si="2"/>
        <v>Sep-2024</v>
      </c>
      <c r="J118" s="2">
        <f t="shared" si="3"/>
        <v>0.38845832836532729</v>
      </c>
    </row>
    <row r="119" spans="1:10" x14ac:dyDescent="0.3">
      <c r="A119">
        <v>1118</v>
      </c>
      <c r="B119" s="1">
        <v>45508</v>
      </c>
      <c r="C119" t="s">
        <v>18</v>
      </c>
      <c r="D119" t="s">
        <v>15</v>
      </c>
      <c r="E119" t="s">
        <v>20</v>
      </c>
      <c r="F119">
        <v>1</v>
      </c>
      <c r="G119">
        <v>13048</v>
      </c>
      <c r="H119">
        <v>4918</v>
      </c>
      <c r="I119" t="str">
        <f t="shared" si="2"/>
        <v>Aug-2024</v>
      </c>
      <c r="J119" s="2">
        <f t="shared" si="3"/>
        <v>0.37691600245248313</v>
      </c>
    </row>
    <row r="120" spans="1:10" x14ac:dyDescent="0.3">
      <c r="A120">
        <v>1119</v>
      </c>
      <c r="B120" s="1">
        <v>45304</v>
      </c>
      <c r="C120" t="s">
        <v>8</v>
      </c>
      <c r="D120" t="s">
        <v>15</v>
      </c>
      <c r="E120" t="s">
        <v>21</v>
      </c>
      <c r="F120">
        <v>3</v>
      </c>
      <c r="G120">
        <v>8502</v>
      </c>
      <c r="H120">
        <v>1425</v>
      </c>
      <c r="I120" t="str">
        <f t="shared" si="2"/>
        <v>Jan-2024</v>
      </c>
      <c r="J120" s="2">
        <f t="shared" si="3"/>
        <v>0.16760762173606211</v>
      </c>
    </row>
    <row r="121" spans="1:10" x14ac:dyDescent="0.3">
      <c r="A121">
        <v>1120</v>
      </c>
      <c r="B121" s="1">
        <v>45353</v>
      </c>
      <c r="C121" t="s">
        <v>18</v>
      </c>
      <c r="D121" t="s">
        <v>9</v>
      </c>
      <c r="E121" t="s">
        <v>19</v>
      </c>
      <c r="F121">
        <v>5</v>
      </c>
      <c r="G121">
        <v>19253</v>
      </c>
      <c r="H121">
        <v>1785</v>
      </c>
      <c r="I121" t="str">
        <f t="shared" si="2"/>
        <v>Mar-2024</v>
      </c>
      <c r="J121" s="2">
        <f t="shared" si="3"/>
        <v>9.2712823975484346E-2</v>
      </c>
    </row>
    <row r="122" spans="1:10" x14ac:dyDescent="0.3">
      <c r="A122">
        <v>1121</v>
      </c>
      <c r="B122" s="1">
        <v>45565</v>
      </c>
      <c r="C122" t="s">
        <v>13</v>
      </c>
      <c r="D122" t="s">
        <v>15</v>
      </c>
      <c r="E122" t="s">
        <v>21</v>
      </c>
      <c r="F122">
        <v>2</v>
      </c>
      <c r="G122">
        <v>19897</v>
      </c>
      <c r="H122">
        <v>844</v>
      </c>
      <c r="I122" t="str">
        <f t="shared" si="2"/>
        <v>Sep-2024</v>
      </c>
      <c r="J122" s="2">
        <f t="shared" si="3"/>
        <v>4.2418455043473892E-2</v>
      </c>
    </row>
    <row r="123" spans="1:10" x14ac:dyDescent="0.3">
      <c r="A123">
        <v>1122</v>
      </c>
      <c r="B123" s="1">
        <v>45593</v>
      </c>
      <c r="C123" t="s">
        <v>18</v>
      </c>
      <c r="D123" t="s">
        <v>15</v>
      </c>
      <c r="E123" t="s">
        <v>20</v>
      </c>
      <c r="F123">
        <v>2</v>
      </c>
      <c r="G123">
        <v>10892</v>
      </c>
      <c r="H123">
        <v>-487</v>
      </c>
      <c r="I123" t="str">
        <f t="shared" si="2"/>
        <v>Oct-2024</v>
      </c>
      <c r="J123" s="2">
        <f t="shared" si="3"/>
        <v>-4.4711715020198307E-2</v>
      </c>
    </row>
    <row r="124" spans="1:10" x14ac:dyDescent="0.3">
      <c r="A124">
        <v>1123</v>
      </c>
      <c r="B124" s="1">
        <v>45494</v>
      </c>
      <c r="C124" t="s">
        <v>13</v>
      </c>
      <c r="D124" t="s">
        <v>15</v>
      </c>
      <c r="E124" t="s">
        <v>16</v>
      </c>
      <c r="F124">
        <v>1</v>
      </c>
      <c r="G124">
        <v>7012</v>
      </c>
      <c r="H124">
        <v>337</v>
      </c>
      <c r="I124" t="str">
        <f t="shared" si="2"/>
        <v>Jul-2024</v>
      </c>
      <c r="J124" s="2">
        <f t="shared" si="3"/>
        <v>4.8060467769537936E-2</v>
      </c>
    </row>
    <row r="125" spans="1:10" x14ac:dyDescent="0.3">
      <c r="A125">
        <v>1124</v>
      </c>
      <c r="B125" s="1">
        <v>45563</v>
      </c>
      <c r="C125" t="s">
        <v>8</v>
      </c>
      <c r="D125" t="s">
        <v>11</v>
      </c>
      <c r="E125" t="s">
        <v>17</v>
      </c>
      <c r="F125">
        <v>2</v>
      </c>
      <c r="G125">
        <v>3046</v>
      </c>
      <c r="H125">
        <v>616</v>
      </c>
      <c r="I125" t="str">
        <f t="shared" si="2"/>
        <v>Sep-2024</v>
      </c>
      <c r="J125" s="2">
        <f t="shared" si="3"/>
        <v>0.20223243598161522</v>
      </c>
    </row>
    <row r="126" spans="1:10" x14ac:dyDescent="0.3">
      <c r="A126">
        <v>1125</v>
      </c>
      <c r="B126" s="1">
        <v>45591</v>
      </c>
      <c r="C126" t="s">
        <v>8</v>
      </c>
      <c r="D126" t="s">
        <v>15</v>
      </c>
      <c r="E126" t="s">
        <v>21</v>
      </c>
      <c r="F126">
        <v>4</v>
      </c>
      <c r="G126">
        <v>4444</v>
      </c>
      <c r="H126">
        <v>597</v>
      </c>
      <c r="I126" t="str">
        <f t="shared" si="2"/>
        <v>Oct-2024</v>
      </c>
      <c r="J126" s="2">
        <f t="shared" si="3"/>
        <v>0.13433843384338434</v>
      </c>
    </row>
    <row r="127" spans="1:10" x14ac:dyDescent="0.3">
      <c r="A127">
        <v>1126</v>
      </c>
      <c r="B127" s="1">
        <v>45338</v>
      </c>
      <c r="C127" t="s">
        <v>18</v>
      </c>
      <c r="D127" t="s">
        <v>11</v>
      </c>
      <c r="E127" t="s">
        <v>12</v>
      </c>
      <c r="F127">
        <v>1</v>
      </c>
      <c r="G127">
        <v>7167</v>
      </c>
      <c r="H127">
        <v>1315</v>
      </c>
      <c r="I127" t="str">
        <f t="shared" si="2"/>
        <v>Feb-2024</v>
      </c>
      <c r="J127" s="2">
        <f t="shared" si="3"/>
        <v>0.18347983814706292</v>
      </c>
    </row>
    <row r="128" spans="1:10" x14ac:dyDescent="0.3">
      <c r="A128">
        <v>1127</v>
      </c>
      <c r="B128" s="1">
        <v>45652</v>
      </c>
      <c r="C128" t="s">
        <v>13</v>
      </c>
      <c r="D128" t="s">
        <v>15</v>
      </c>
      <c r="E128" t="s">
        <v>20</v>
      </c>
      <c r="F128">
        <v>4</v>
      </c>
      <c r="G128">
        <v>3884</v>
      </c>
      <c r="H128">
        <v>59</v>
      </c>
      <c r="I128" t="str">
        <f t="shared" si="2"/>
        <v>Dec-2024</v>
      </c>
      <c r="J128" s="2">
        <f t="shared" si="3"/>
        <v>1.5190525231719876E-2</v>
      </c>
    </row>
    <row r="129" spans="1:10" x14ac:dyDescent="0.3">
      <c r="A129">
        <v>1128</v>
      </c>
      <c r="B129" s="1">
        <v>45601</v>
      </c>
      <c r="C129" t="s">
        <v>8</v>
      </c>
      <c r="D129" t="s">
        <v>9</v>
      </c>
      <c r="E129" t="s">
        <v>10</v>
      </c>
      <c r="F129">
        <v>3</v>
      </c>
      <c r="G129">
        <v>18126</v>
      </c>
      <c r="H129">
        <v>6460</v>
      </c>
      <c r="I129" t="str">
        <f t="shared" si="2"/>
        <v>Nov-2024</v>
      </c>
      <c r="J129" s="2">
        <f t="shared" si="3"/>
        <v>0.35639412997903563</v>
      </c>
    </row>
    <row r="130" spans="1:10" x14ac:dyDescent="0.3">
      <c r="A130">
        <v>1129</v>
      </c>
      <c r="B130" s="1">
        <v>45517</v>
      </c>
      <c r="C130" t="s">
        <v>8</v>
      </c>
      <c r="D130" t="s">
        <v>15</v>
      </c>
      <c r="E130" t="s">
        <v>20</v>
      </c>
      <c r="F130">
        <v>4</v>
      </c>
      <c r="G130">
        <v>12197</v>
      </c>
      <c r="H130">
        <v>701</v>
      </c>
      <c r="I130" t="str">
        <f t="shared" si="2"/>
        <v>Aug-2024</v>
      </c>
      <c r="J130" s="2">
        <f t="shared" si="3"/>
        <v>5.7473149135033208E-2</v>
      </c>
    </row>
    <row r="131" spans="1:10" x14ac:dyDescent="0.3">
      <c r="A131">
        <v>1130</v>
      </c>
      <c r="B131" s="1">
        <v>45524</v>
      </c>
      <c r="C131" t="s">
        <v>8</v>
      </c>
      <c r="D131" t="s">
        <v>11</v>
      </c>
      <c r="E131" t="s">
        <v>17</v>
      </c>
      <c r="F131">
        <v>5</v>
      </c>
      <c r="G131">
        <v>12820</v>
      </c>
      <c r="H131">
        <v>1805</v>
      </c>
      <c r="I131" t="str">
        <f t="shared" ref="I131:I194" si="4">TEXT(B131,"mmm-yyyy")</f>
        <v>Aug-2024</v>
      </c>
      <c r="J131" s="2">
        <f t="shared" ref="J131:J194" si="5">H131/G131</f>
        <v>0.14079563182527302</v>
      </c>
    </row>
    <row r="132" spans="1:10" x14ac:dyDescent="0.3">
      <c r="A132">
        <v>1131</v>
      </c>
      <c r="B132" s="1">
        <v>45359</v>
      </c>
      <c r="C132" t="s">
        <v>8</v>
      </c>
      <c r="D132" t="s">
        <v>15</v>
      </c>
      <c r="E132" t="s">
        <v>16</v>
      </c>
      <c r="F132">
        <v>2</v>
      </c>
      <c r="G132">
        <v>4358</v>
      </c>
      <c r="H132">
        <v>-222</v>
      </c>
      <c r="I132" t="str">
        <f t="shared" si="4"/>
        <v>Mar-2024</v>
      </c>
      <c r="J132" s="2">
        <f t="shared" si="5"/>
        <v>-5.0940798531436439E-2</v>
      </c>
    </row>
    <row r="133" spans="1:10" x14ac:dyDescent="0.3">
      <c r="A133">
        <v>1132</v>
      </c>
      <c r="B133" s="1">
        <v>45292</v>
      </c>
      <c r="C133" t="s">
        <v>8</v>
      </c>
      <c r="D133" t="s">
        <v>15</v>
      </c>
      <c r="E133" t="s">
        <v>20</v>
      </c>
      <c r="F133">
        <v>1</v>
      </c>
      <c r="G133">
        <v>8718</v>
      </c>
      <c r="H133">
        <v>570</v>
      </c>
      <c r="I133" t="str">
        <f t="shared" si="4"/>
        <v>Jan-2024</v>
      </c>
      <c r="J133" s="2">
        <f t="shared" si="5"/>
        <v>6.5381968341362701E-2</v>
      </c>
    </row>
    <row r="134" spans="1:10" x14ac:dyDescent="0.3">
      <c r="A134">
        <v>1133</v>
      </c>
      <c r="B134" s="1">
        <v>45649</v>
      </c>
      <c r="C134" t="s">
        <v>8</v>
      </c>
      <c r="D134" t="s">
        <v>9</v>
      </c>
      <c r="E134" t="s">
        <v>19</v>
      </c>
      <c r="F134">
        <v>5</v>
      </c>
      <c r="G134">
        <v>4832</v>
      </c>
      <c r="H134">
        <v>893</v>
      </c>
      <c r="I134" t="str">
        <f t="shared" si="4"/>
        <v>Dec-2024</v>
      </c>
      <c r="J134" s="2">
        <f t="shared" si="5"/>
        <v>0.18480960264900662</v>
      </c>
    </row>
    <row r="135" spans="1:10" x14ac:dyDescent="0.3">
      <c r="A135">
        <v>1134</v>
      </c>
      <c r="B135" s="1">
        <v>45449</v>
      </c>
      <c r="C135" t="s">
        <v>13</v>
      </c>
      <c r="D135" t="s">
        <v>9</v>
      </c>
      <c r="E135" t="s">
        <v>19</v>
      </c>
      <c r="F135">
        <v>5</v>
      </c>
      <c r="G135">
        <v>13077</v>
      </c>
      <c r="H135">
        <v>1047</v>
      </c>
      <c r="I135" t="str">
        <f t="shared" si="4"/>
        <v>Jun-2024</v>
      </c>
      <c r="J135" s="2">
        <f t="shared" si="5"/>
        <v>8.0064234916265201E-2</v>
      </c>
    </row>
    <row r="136" spans="1:10" x14ac:dyDescent="0.3">
      <c r="A136">
        <v>1135</v>
      </c>
      <c r="B136" s="1">
        <v>45459</v>
      </c>
      <c r="C136" t="s">
        <v>13</v>
      </c>
      <c r="D136" t="s">
        <v>9</v>
      </c>
      <c r="E136" t="s">
        <v>14</v>
      </c>
      <c r="F136">
        <v>1</v>
      </c>
      <c r="G136">
        <v>17247</v>
      </c>
      <c r="H136">
        <v>314</v>
      </c>
      <c r="I136" t="str">
        <f t="shared" si="4"/>
        <v>Jun-2024</v>
      </c>
      <c r="J136" s="2">
        <f t="shared" si="5"/>
        <v>1.8206064822867744E-2</v>
      </c>
    </row>
    <row r="137" spans="1:10" x14ac:dyDescent="0.3">
      <c r="A137">
        <v>1136</v>
      </c>
      <c r="B137" s="1">
        <v>45306</v>
      </c>
      <c r="C137" t="s">
        <v>18</v>
      </c>
      <c r="D137" t="s">
        <v>9</v>
      </c>
      <c r="E137" t="s">
        <v>14</v>
      </c>
      <c r="F137">
        <v>4</v>
      </c>
      <c r="G137">
        <v>2782</v>
      </c>
      <c r="H137">
        <v>1109</v>
      </c>
      <c r="I137" t="str">
        <f t="shared" si="4"/>
        <v>Jan-2024</v>
      </c>
      <c r="J137" s="2">
        <f t="shared" si="5"/>
        <v>0.39863407620416969</v>
      </c>
    </row>
    <row r="138" spans="1:10" x14ac:dyDescent="0.3">
      <c r="A138">
        <v>1137</v>
      </c>
      <c r="B138" s="1">
        <v>45463</v>
      </c>
      <c r="C138" t="s">
        <v>18</v>
      </c>
      <c r="D138" t="s">
        <v>15</v>
      </c>
      <c r="E138" t="s">
        <v>20</v>
      </c>
      <c r="F138">
        <v>4</v>
      </c>
      <c r="G138">
        <v>6977</v>
      </c>
      <c r="H138">
        <v>1416</v>
      </c>
      <c r="I138" t="str">
        <f t="shared" si="4"/>
        <v>Jun-2024</v>
      </c>
      <c r="J138" s="2">
        <f t="shared" si="5"/>
        <v>0.20295255840619178</v>
      </c>
    </row>
    <row r="139" spans="1:10" x14ac:dyDescent="0.3">
      <c r="A139">
        <v>1138</v>
      </c>
      <c r="B139" s="1">
        <v>45448</v>
      </c>
      <c r="C139" t="s">
        <v>18</v>
      </c>
      <c r="D139" t="s">
        <v>9</v>
      </c>
      <c r="E139" t="s">
        <v>10</v>
      </c>
      <c r="F139">
        <v>5</v>
      </c>
      <c r="G139">
        <v>3782</v>
      </c>
      <c r="H139">
        <v>699</v>
      </c>
      <c r="I139" t="str">
        <f t="shared" si="4"/>
        <v>Jun-2024</v>
      </c>
      <c r="J139" s="2">
        <f t="shared" si="5"/>
        <v>0.18482284505552618</v>
      </c>
    </row>
    <row r="140" spans="1:10" x14ac:dyDescent="0.3">
      <c r="A140">
        <v>1139</v>
      </c>
      <c r="B140" s="1">
        <v>45394</v>
      </c>
      <c r="C140" t="s">
        <v>18</v>
      </c>
      <c r="D140" t="s">
        <v>11</v>
      </c>
      <c r="E140" t="s">
        <v>12</v>
      </c>
      <c r="F140">
        <v>4</v>
      </c>
      <c r="G140">
        <v>1170</v>
      </c>
      <c r="H140">
        <v>422</v>
      </c>
      <c r="I140" t="str">
        <f t="shared" si="4"/>
        <v>Apr-2024</v>
      </c>
      <c r="J140" s="2">
        <f t="shared" si="5"/>
        <v>0.36068376068376068</v>
      </c>
    </row>
    <row r="141" spans="1:10" x14ac:dyDescent="0.3">
      <c r="A141">
        <v>1140</v>
      </c>
      <c r="B141" s="1">
        <v>45570</v>
      </c>
      <c r="C141" t="s">
        <v>18</v>
      </c>
      <c r="D141" t="s">
        <v>11</v>
      </c>
      <c r="E141" t="s">
        <v>17</v>
      </c>
      <c r="F141">
        <v>4</v>
      </c>
      <c r="G141">
        <v>16300</v>
      </c>
      <c r="H141">
        <v>4546</v>
      </c>
      <c r="I141" t="str">
        <f t="shared" si="4"/>
        <v>Oct-2024</v>
      </c>
      <c r="J141" s="2">
        <f t="shared" si="5"/>
        <v>0.27889570552147241</v>
      </c>
    </row>
    <row r="142" spans="1:10" x14ac:dyDescent="0.3">
      <c r="A142">
        <v>1141</v>
      </c>
      <c r="B142" s="1">
        <v>45528</v>
      </c>
      <c r="C142" t="s">
        <v>18</v>
      </c>
      <c r="D142" t="s">
        <v>9</v>
      </c>
      <c r="E142" t="s">
        <v>19</v>
      </c>
      <c r="F142">
        <v>5</v>
      </c>
      <c r="G142">
        <v>16788</v>
      </c>
      <c r="H142">
        <v>646</v>
      </c>
      <c r="I142" t="str">
        <f t="shared" si="4"/>
        <v>Aug-2024</v>
      </c>
      <c r="J142" s="2">
        <f t="shared" si="5"/>
        <v>3.8479866571360495E-2</v>
      </c>
    </row>
    <row r="143" spans="1:10" x14ac:dyDescent="0.3">
      <c r="A143">
        <v>1142</v>
      </c>
      <c r="B143" s="1">
        <v>45335</v>
      </c>
      <c r="C143" t="s">
        <v>18</v>
      </c>
      <c r="D143" t="s">
        <v>9</v>
      </c>
      <c r="E143" t="s">
        <v>19</v>
      </c>
      <c r="F143">
        <v>3</v>
      </c>
      <c r="G143">
        <v>1361</v>
      </c>
      <c r="H143">
        <v>137</v>
      </c>
      <c r="I143" t="str">
        <f t="shared" si="4"/>
        <v>Feb-2024</v>
      </c>
      <c r="J143" s="2">
        <f t="shared" si="5"/>
        <v>0.10066127847171198</v>
      </c>
    </row>
    <row r="144" spans="1:10" x14ac:dyDescent="0.3">
      <c r="A144">
        <v>1143</v>
      </c>
      <c r="B144" s="1">
        <v>45624</v>
      </c>
      <c r="C144" t="s">
        <v>13</v>
      </c>
      <c r="D144" t="s">
        <v>11</v>
      </c>
      <c r="E144" t="s">
        <v>12</v>
      </c>
      <c r="F144">
        <v>5</v>
      </c>
      <c r="G144">
        <v>3357</v>
      </c>
      <c r="H144">
        <v>369</v>
      </c>
      <c r="I144" t="str">
        <f t="shared" si="4"/>
        <v>Nov-2024</v>
      </c>
      <c r="J144" s="2">
        <f t="shared" si="5"/>
        <v>0.10991957104557641</v>
      </c>
    </row>
    <row r="145" spans="1:10" x14ac:dyDescent="0.3">
      <c r="A145">
        <v>1144</v>
      </c>
      <c r="B145" s="1">
        <v>45552</v>
      </c>
      <c r="C145" t="s">
        <v>8</v>
      </c>
      <c r="D145" t="s">
        <v>11</v>
      </c>
      <c r="E145" t="s">
        <v>22</v>
      </c>
      <c r="F145">
        <v>1</v>
      </c>
      <c r="G145">
        <v>13155</v>
      </c>
      <c r="H145">
        <v>4130</v>
      </c>
      <c r="I145" t="str">
        <f t="shared" si="4"/>
        <v>Sep-2024</v>
      </c>
      <c r="J145" s="2">
        <f t="shared" si="5"/>
        <v>0.31394906879513496</v>
      </c>
    </row>
    <row r="146" spans="1:10" x14ac:dyDescent="0.3">
      <c r="A146">
        <v>1145</v>
      </c>
      <c r="B146" s="1">
        <v>45302</v>
      </c>
      <c r="C146" t="s">
        <v>13</v>
      </c>
      <c r="D146" t="s">
        <v>11</v>
      </c>
      <c r="E146" t="s">
        <v>22</v>
      </c>
      <c r="F146">
        <v>5</v>
      </c>
      <c r="G146">
        <v>14339</v>
      </c>
      <c r="H146">
        <v>1598</v>
      </c>
      <c r="I146" t="str">
        <f t="shared" si="4"/>
        <v>Jan-2024</v>
      </c>
      <c r="J146" s="2">
        <f t="shared" si="5"/>
        <v>0.11144431271357835</v>
      </c>
    </row>
    <row r="147" spans="1:10" x14ac:dyDescent="0.3">
      <c r="A147">
        <v>1146</v>
      </c>
      <c r="B147" s="1">
        <v>45294</v>
      </c>
      <c r="C147" t="s">
        <v>18</v>
      </c>
      <c r="D147" t="s">
        <v>9</v>
      </c>
      <c r="E147" t="s">
        <v>19</v>
      </c>
      <c r="F147">
        <v>3</v>
      </c>
      <c r="G147">
        <v>3754</v>
      </c>
      <c r="H147">
        <v>74</v>
      </c>
      <c r="I147" t="str">
        <f t="shared" si="4"/>
        <v>Jan-2024</v>
      </c>
      <c r="J147" s="2">
        <f t="shared" si="5"/>
        <v>1.9712306872669155E-2</v>
      </c>
    </row>
    <row r="148" spans="1:10" x14ac:dyDescent="0.3">
      <c r="A148">
        <v>1147</v>
      </c>
      <c r="B148" s="1">
        <v>45482</v>
      </c>
      <c r="C148" t="s">
        <v>18</v>
      </c>
      <c r="D148" t="s">
        <v>15</v>
      </c>
      <c r="E148" t="s">
        <v>21</v>
      </c>
      <c r="F148">
        <v>4</v>
      </c>
      <c r="G148">
        <v>8314</v>
      </c>
      <c r="H148">
        <v>2144</v>
      </c>
      <c r="I148" t="str">
        <f t="shared" si="4"/>
        <v>Jul-2024</v>
      </c>
      <c r="J148" s="2">
        <f t="shared" si="5"/>
        <v>0.25787827760404136</v>
      </c>
    </row>
    <row r="149" spans="1:10" x14ac:dyDescent="0.3">
      <c r="A149">
        <v>1148</v>
      </c>
      <c r="B149" s="1">
        <v>45439</v>
      </c>
      <c r="C149" t="s">
        <v>18</v>
      </c>
      <c r="D149" t="s">
        <v>9</v>
      </c>
      <c r="E149" t="s">
        <v>14</v>
      </c>
      <c r="F149">
        <v>5</v>
      </c>
      <c r="G149">
        <v>14372</v>
      </c>
      <c r="H149">
        <v>344</v>
      </c>
      <c r="I149" t="str">
        <f t="shared" si="4"/>
        <v>May-2024</v>
      </c>
      <c r="J149" s="2">
        <f t="shared" si="5"/>
        <v>2.3935430002783191E-2</v>
      </c>
    </row>
    <row r="150" spans="1:10" x14ac:dyDescent="0.3">
      <c r="A150">
        <v>1149</v>
      </c>
      <c r="B150" s="1">
        <v>45528</v>
      </c>
      <c r="C150" t="s">
        <v>8</v>
      </c>
      <c r="D150" t="s">
        <v>15</v>
      </c>
      <c r="E150" t="s">
        <v>21</v>
      </c>
      <c r="F150">
        <v>4</v>
      </c>
      <c r="G150">
        <v>15145</v>
      </c>
      <c r="H150">
        <v>4771</v>
      </c>
      <c r="I150" t="str">
        <f t="shared" si="4"/>
        <v>Aug-2024</v>
      </c>
      <c r="J150" s="2">
        <f t="shared" si="5"/>
        <v>0.31502145922746783</v>
      </c>
    </row>
    <row r="151" spans="1:10" x14ac:dyDescent="0.3">
      <c r="A151">
        <v>1150</v>
      </c>
      <c r="B151" s="1">
        <v>45460</v>
      </c>
      <c r="C151" t="s">
        <v>13</v>
      </c>
      <c r="D151" t="s">
        <v>15</v>
      </c>
      <c r="E151" t="s">
        <v>20</v>
      </c>
      <c r="F151">
        <v>2</v>
      </c>
      <c r="G151">
        <v>11843</v>
      </c>
      <c r="H151">
        <v>1158</v>
      </c>
      <c r="I151" t="str">
        <f t="shared" si="4"/>
        <v>Jun-2024</v>
      </c>
      <c r="J151" s="2">
        <f t="shared" si="5"/>
        <v>9.7779278898927638E-2</v>
      </c>
    </row>
    <row r="152" spans="1:10" x14ac:dyDescent="0.3">
      <c r="A152">
        <v>1151</v>
      </c>
      <c r="B152" s="1">
        <v>45570</v>
      </c>
      <c r="C152" t="s">
        <v>13</v>
      </c>
      <c r="D152" t="s">
        <v>9</v>
      </c>
      <c r="E152" t="s">
        <v>14</v>
      </c>
      <c r="F152">
        <v>1</v>
      </c>
      <c r="G152">
        <v>7154</v>
      </c>
      <c r="H152">
        <v>2279</v>
      </c>
      <c r="I152" t="str">
        <f t="shared" si="4"/>
        <v>Oct-2024</v>
      </c>
      <c r="J152" s="2">
        <f t="shared" si="5"/>
        <v>0.3185630416550182</v>
      </c>
    </row>
    <row r="153" spans="1:10" x14ac:dyDescent="0.3">
      <c r="A153">
        <v>1152</v>
      </c>
      <c r="B153" s="1">
        <v>45575</v>
      </c>
      <c r="C153" t="s">
        <v>18</v>
      </c>
      <c r="D153" t="s">
        <v>11</v>
      </c>
      <c r="E153" t="s">
        <v>22</v>
      </c>
      <c r="F153">
        <v>1</v>
      </c>
      <c r="G153">
        <v>13746</v>
      </c>
      <c r="H153">
        <v>2780</v>
      </c>
      <c r="I153" t="str">
        <f t="shared" si="4"/>
        <v>Oct-2024</v>
      </c>
      <c r="J153" s="2">
        <f t="shared" si="5"/>
        <v>0.20224065182598575</v>
      </c>
    </row>
    <row r="154" spans="1:10" x14ac:dyDescent="0.3">
      <c r="A154">
        <v>1153</v>
      </c>
      <c r="B154" s="1">
        <v>45418</v>
      </c>
      <c r="C154" t="s">
        <v>18</v>
      </c>
      <c r="D154" t="s">
        <v>15</v>
      </c>
      <c r="E154" t="s">
        <v>20</v>
      </c>
      <c r="F154">
        <v>2</v>
      </c>
      <c r="G154">
        <v>16166</v>
      </c>
      <c r="H154">
        <v>-142</v>
      </c>
      <c r="I154" t="str">
        <f t="shared" si="4"/>
        <v>May-2024</v>
      </c>
      <c r="J154" s="2">
        <f t="shared" si="5"/>
        <v>-8.7838673759742664E-3</v>
      </c>
    </row>
    <row r="155" spans="1:10" x14ac:dyDescent="0.3">
      <c r="A155">
        <v>1154</v>
      </c>
      <c r="B155" s="1">
        <v>45396</v>
      </c>
      <c r="C155" t="s">
        <v>13</v>
      </c>
      <c r="D155" t="s">
        <v>15</v>
      </c>
      <c r="E155" t="s">
        <v>21</v>
      </c>
      <c r="F155">
        <v>5</v>
      </c>
      <c r="G155">
        <v>18880</v>
      </c>
      <c r="H155">
        <v>4450</v>
      </c>
      <c r="I155" t="str">
        <f t="shared" si="4"/>
        <v>Apr-2024</v>
      </c>
      <c r="J155" s="2">
        <f t="shared" si="5"/>
        <v>0.23569915254237289</v>
      </c>
    </row>
    <row r="156" spans="1:10" x14ac:dyDescent="0.3">
      <c r="A156">
        <v>1155</v>
      </c>
      <c r="B156" s="1">
        <v>45396</v>
      </c>
      <c r="C156" t="s">
        <v>13</v>
      </c>
      <c r="D156" t="s">
        <v>15</v>
      </c>
      <c r="E156" t="s">
        <v>20</v>
      </c>
      <c r="F156">
        <v>5</v>
      </c>
      <c r="G156">
        <v>17064</v>
      </c>
      <c r="H156">
        <v>-359</v>
      </c>
      <c r="I156" t="str">
        <f t="shared" si="4"/>
        <v>Apr-2024</v>
      </c>
      <c r="J156" s="2">
        <f t="shared" si="5"/>
        <v>-2.1038443506797937E-2</v>
      </c>
    </row>
    <row r="157" spans="1:10" x14ac:dyDescent="0.3">
      <c r="A157">
        <v>1156</v>
      </c>
      <c r="B157" s="1">
        <v>45439</v>
      </c>
      <c r="C157" t="s">
        <v>8</v>
      </c>
      <c r="D157" t="s">
        <v>15</v>
      </c>
      <c r="E157" t="s">
        <v>21</v>
      </c>
      <c r="F157">
        <v>3</v>
      </c>
      <c r="G157">
        <v>4905</v>
      </c>
      <c r="H157">
        <v>354</v>
      </c>
      <c r="I157" t="str">
        <f t="shared" si="4"/>
        <v>May-2024</v>
      </c>
      <c r="J157" s="2">
        <f t="shared" si="5"/>
        <v>7.2171253822629969E-2</v>
      </c>
    </row>
    <row r="158" spans="1:10" x14ac:dyDescent="0.3">
      <c r="A158">
        <v>1157</v>
      </c>
      <c r="B158" s="1">
        <v>45584</v>
      </c>
      <c r="C158" t="s">
        <v>8</v>
      </c>
      <c r="D158" t="s">
        <v>15</v>
      </c>
      <c r="E158" t="s">
        <v>20</v>
      </c>
      <c r="F158">
        <v>5</v>
      </c>
      <c r="G158">
        <v>17917</v>
      </c>
      <c r="H158">
        <v>15</v>
      </c>
      <c r="I158" t="str">
        <f t="shared" si="4"/>
        <v>Oct-2024</v>
      </c>
      <c r="J158" s="2">
        <f t="shared" si="5"/>
        <v>8.3719372662834177E-4</v>
      </c>
    </row>
    <row r="159" spans="1:10" x14ac:dyDescent="0.3">
      <c r="A159">
        <v>1158</v>
      </c>
      <c r="B159" s="1">
        <v>45463</v>
      </c>
      <c r="C159" t="s">
        <v>13</v>
      </c>
      <c r="D159" t="s">
        <v>11</v>
      </c>
      <c r="E159" t="s">
        <v>17</v>
      </c>
      <c r="F159">
        <v>5</v>
      </c>
      <c r="G159">
        <v>19561</v>
      </c>
      <c r="H159">
        <v>6313</v>
      </c>
      <c r="I159" t="str">
        <f t="shared" si="4"/>
        <v>Jun-2024</v>
      </c>
      <c r="J159" s="2">
        <f t="shared" si="5"/>
        <v>0.32273401155360154</v>
      </c>
    </row>
    <row r="160" spans="1:10" x14ac:dyDescent="0.3">
      <c r="A160">
        <v>1159</v>
      </c>
      <c r="B160" s="1">
        <v>45560</v>
      </c>
      <c r="C160" t="s">
        <v>18</v>
      </c>
      <c r="D160" t="s">
        <v>15</v>
      </c>
      <c r="E160" t="s">
        <v>21</v>
      </c>
      <c r="F160">
        <v>2</v>
      </c>
      <c r="G160">
        <v>10575</v>
      </c>
      <c r="H160">
        <v>668</v>
      </c>
      <c r="I160" t="str">
        <f t="shared" si="4"/>
        <v>Sep-2024</v>
      </c>
      <c r="J160" s="2">
        <f t="shared" si="5"/>
        <v>6.3167848699763593E-2</v>
      </c>
    </row>
    <row r="161" spans="1:10" x14ac:dyDescent="0.3">
      <c r="A161">
        <v>1160</v>
      </c>
      <c r="B161" s="1">
        <v>45593</v>
      </c>
      <c r="C161" t="s">
        <v>18</v>
      </c>
      <c r="D161" t="s">
        <v>15</v>
      </c>
      <c r="E161" t="s">
        <v>16</v>
      </c>
      <c r="F161">
        <v>4</v>
      </c>
      <c r="G161">
        <v>18551</v>
      </c>
      <c r="H161">
        <v>3315</v>
      </c>
      <c r="I161" t="str">
        <f t="shared" si="4"/>
        <v>Oct-2024</v>
      </c>
      <c r="J161" s="2">
        <f t="shared" si="5"/>
        <v>0.17869656622284513</v>
      </c>
    </row>
    <row r="162" spans="1:10" x14ac:dyDescent="0.3">
      <c r="A162">
        <v>1161</v>
      </c>
      <c r="B162" s="1">
        <v>45313</v>
      </c>
      <c r="C162" t="s">
        <v>13</v>
      </c>
      <c r="D162" t="s">
        <v>15</v>
      </c>
      <c r="E162" t="s">
        <v>21</v>
      </c>
      <c r="F162">
        <v>5</v>
      </c>
      <c r="G162">
        <v>13403</v>
      </c>
      <c r="H162">
        <v>3516</v>
      </c>
      <c r="I162" t="str">
        <f t="shared" si="4"/>
        <v>Jan-2024</v>
      </c>
      <c r="J162" s="2">
        <f t="shared" si="5"/>
        <v>0.26232932925464447</v>
      </c>
    </row>
    <row r="163" spans="1:10" x14ac:dyDescent="0.3">
      <c r="A163">
        <v>1162</v>
      </c>
      <c r="B163" s="1">
        <v>45531</v>
      </c>
      <c r="C163" t="s">
        <v>8</v>
      </c>
      <c r="D163" t="s">
        <v>9</v>
      </c>
      <c r="E163" t="s">
        <v>14</v>
      </c>
      <c r="F163">
        <v>2</v>
      </c>
      <c r="G163">
        <v>13132</v>
      </c>
      <c r="H163">
        <v>3842</v>
      </c>
      <c r="I163" t="str">
        <f t="shared" si="4"/>
        <v>Aug-2024</v>
      </c>
      <c r="J163" s="2">
        <f t="shared" si="5"/>
        <v>0.29256777337800793</v>
      </c>
    </row>
    <row r="164" spans="1:10" x14ac:dyDescent="0.3">
      <c r="A164">
        <v>1163</v>
      </c>
      <c r="B164" s="1">
        <v>45582</v>
      </c>
      <c r="C164" t="s">
        <v>8</v>
      </c>
      <c r="D164" t="s">
        <v>15</v>
      </c>
      <c r="E164" t="s">
        <v>20</v>
      </c>
      <c r="F164">
        <v>1</v>
      </c>
      <c r="G164">
        <v>8473</v>
      </c>
      <c r="H164">
        <v>591</v>
      </c>
      <c r="I164" t="str">
        <f t="shared" si="4"/>
        <v>Oct-2024</v>
      </c>
      <c r="J164" s="2">
        <f t="shared" si="5"/>
        <v>6.975097368110468E-2</v>
      </c>
    </row>
    <row r="165" spans="1:10" x14ac:dyDescent="0.3">
      <c r="A165">
        <v>1164</v>
      </c>
      <c r="B165" s="1">
        <v>45462</v>
      </c>
      <c r="C165" t="s">
        <v>13</v>
      </c>
      <c r="D165" t="s">
        <v>15</v>
      </c>
      <c r="E165" t="s">
        <v>20</v>
      </c>
      <c r="F165">
        <v>1</v>
      </c>
      <c r="G165">
        <v>11509</v>
      </c>
      <c r="H165">
        <v>1943</v>
      </c>
      <c r="I165" t="str">
        <f t="shared" si="4"/>
        <v>Jun-2024</v>
      </c>
      <c r="J165" s="2">
        <f t="shared" si="5"/>
        <v>0.16882439829698498</v>
      </c>
    </row>
    <row r="166" spans="1:10" x14ac:dyDescent="0.3">
      <c r="A166">
        <v>1165</v>
      </c>
      <c r="B166" s="1">
        <v>45525</v>
      </c>
      <c r="C166" t="s">
        <v>13</v>
      </c>
      <c r="D166" t="s">
        <v>11</v>
      </c>
      <c r="E166" t="s">
        <v>22</v>
      </c>
      <c r="F166">
        <v>4</v>
      </c>
      <c r="G166">
        <v>15697</v>
      </c>
      <c r="H166">
        <v>4256</v>
      </c>
      <c r="I166" t="str">
        <f t="shared" si="4"/>
        <v>Aug-2024</v>
      </c>
      <c r="J166" s="2">
        <f t="shared" si="5"/>
        <v>0.2711346117092438</v>
      </c>
    </row>
    <row r="167" spans="1:10" x14ac:dyDescent="0.3">
      <c r="A167">
        <v>1166</v>
      </c>
      <c r="B167" s="1">
        <v>45559</v>
      </c>
      <c r="C167" t="s">
        <v>13</v>
      </c>
      <c r="D167" t="s">
        <v>15</v>
      </c>
      <c r="E167" t="s">
        <v>20</v>
      </c>
      <c r="F167">
        <v>3</v>
      </c>
      <c r="G167">
        <v>12461</v>
      </c>
      <c r="H167">
        <v>2555</v>
      </c>
      <c r="I167" t="str">
        <f t="shared" si="4"/>
        <v>Sep-2024</v>
      </c>
      <c r="J167" s="2">
        <f t="shared" si="5"/>
        <v>0.20503972393868872</v>
      </c>
    </row>
    <row r="168" spans="1:10" x14ac:dyDescent="0.3">
      <c r="A168">
        <v>1167</v>
      </c>
      <c r="B168" s="1">
        <v>45551</v>
      </c>
      <c r="C168" t="s">
        <v>13</v>
      </c>
      <c r="D168" t="s">
        <v>9</v>
      </c>
      <c r="E168" t="s">
        <v>10</v>
      </c>
      <c r="F168">
        <v>5</v>
      </c>
      <c r="G168">
        <v>12865</v>
      </c>
      <c r="H168">
        <v>2462</v>
      </c>
      <c r="I168" t="str">
        <f t="shared" si="4"/>
        <v>Sep-2024</v>
      </c>
      <c r="J168" s="2">
        <f t="shared" si="5"/>
        <v>0.19137193937038477</v>
      </c>
    </row>
    <row r="169" spans="1:10" x14ac:dyDescent="0.3">
      <c r="A169">
        <v>1168</v>
      </c>
      <c r="B169" s="1">
        <v>45377</v>
      </c>
      <c r="C169" t="s">
        <v>18</v>
      </c>
      <c r="D169" t="s">
        <v>15</v>
      </c>
      <c r="E169" t="s">
        <v>20</v>
      </c>
      <c r="F169">
        <v>1</v>
      </c>
      <c r="G169">
        <v>12662</v>
      </c>
      <c r="H169">
        <v>1381</v>
      </c>
      <c r="I169" t="str">
        <f t="shared" si="4"/>
        <v>Mar-2024</v>
      </c>
      <c r="J169" s="2">
        <f t="shared" si="5"/>
        <v>0.1090664981835413</v>
      </c>
    </row>
    <row r="170" spans="1:10" x14ac:dyDescent="0.3">
      <c r="A170">
        <v>1169</v>
      </c>
      <c r="B170" s="1">
        <v>45629</v>
      </c>
      <c r="C170" t="s">
        <v>18</v>
      </c>
      <c r="D170" t="s">
        <v>15</v>
      </c>
      <c r="E170" t="s">
        <v>16</v>
      </c>
      <c r="F170">
        <v>2</v>
      </c>
      <c r="G170">
        <v>14856</v>
      </c>
      <c r="H170">
        <v>3293</v>
      </c>
      <c r="I170" t="str">
        <f t="shared" si="4"/>
        <v>Dec-2024</v>
      </c>
      <c r="J170" s="2">
        <f t="shared" si="5"/>
        <v>0.22166128163704901</v>
      </c>
    </row>
    <row r="171" spans="1:10" x14ac:dyDescent="0.3">
      <c r="A171">
        <v>1170</v>
      </c>
      <c r="B171" s="1">
        <v>45548</v>
      </c>
      <c r="C171" t="s">
        <v>18</v>
      </c>
      <c r="D171" t="s">
        <v>9</v>
      </c>
      <c r="E171" t="s">
        <v>19</v>
      </c>
      <c r="F171">
        <v>1</v>
      </c>
      <c r="G171">
        <v>19972</v>
      </c>
      <c r="H171">
        <v>2824</v>
      </c>
      <c r="I171" t="str">
        <f t="shared" si="4"/>
        <v>Sep-2024</v>
      </c>
      <c r="J171" s="2">
        <f t="shared" si="5"/>
        <v>0.14139795713999601</v>
      </c>
    </row>
    <row r="172" spans="1:10" x14ac:dyDescent="0.3">
      <c r="A172">
        <v>1171</v>
      </c>
      <c r="B172" s="1">
        <v>45652</v>
      </c>
      <c r="C172" t="s">
        <v>13</v>
      </c>
      <c r="D172" t="s">
        <v>11</v>
      </c>
      <c r="E172" t="s">
        <v>12</v>
      </c>
      <c r="F172">
        <v>1</v>
      </c>
      <c r="G172">
        <v>2776</v>
      </c>
      <c r="H172">
        <v>385</v>
      </c>
      <c r="I172" t="str">
        <f t="shared" si="4"/>
        <v>Dec-2024</v>
      </c>
      <c r="J172" s="2">
        <f t="shared" si="5"/>
        <v>0.13868876080691642</v>
      </c>
    </row>
    <row r="173" spans="1:10" x14ac:dyDescent="0.3">
      <c r="A173">
        <v>1172</v>
      </c>
      <c r="B173" s="1">
        <v>45366</v>
      </c>
      <c r="C173" t="s">
        <v>8</v>
      </c>
      <c r="D173" t="s">
        <v>15</v>
      </c>
      <c r="E173" t="s">
        <v>16</v>
      </c>
      <c r="F173">
        <v>4</v>
      </c>
      <c r="G173">
        <v>10315</v>
      </c>
      <c r="H173">
        <v>-495</v>
      </c>
      <c r="I173" t="str">
        <f t="shared" si="4"/>
        <v>Mar-2024</v>
      </c>
      <c r="J173" s="2">
        <f t="shared" si="5"/>
        <v>-4.7988366456616575E-2</v>
      </c>
    </row>
    <row r="174" spans="1:10" x14ac:dyDescent="0.3">
      <c r="A174">
        <v>1173</v>
      </c>
      <c r="B174" s="1">
        <v>45355</v>
      </c>
      <c r="C174" t="s">
        <v>13</v>
      </c>
      <c r="D174" t="s">
        <v>9</v>
      </c>
      <c r="E174" t="s">
        <v>10</v>
      </c>
      <c r="F174">
        <v>4</v>
      </c>
      <c r="G174">
        <v>4498</v>
      </c>
      <c r="H174">
        <v>926</v>
      </c>
      <c r="I174" t="str">
        <f t="shared" si="4"/>
        <v>Mar-2024</v>
      </c>
      <c r="J174" s="2">
        <f t="shared" si="5"/>
        <v>0.20586927523343709</v>
      </c>
    </row>
    <row r="175" spans="1:10" x14ac:dyDescent="0.3">
      <c r="A175">
        <v>1174</v>
      </c>
      <c r="B175" s="1">
        <v>45640</v>
      </c>
      <c r="C175" t="s">
        <v>18</v>
      </c>
      <c r="D175" t="s">
        <v>15</v>
      </c>
      <c r="E175" t="s">
        <v>20</v>
      </c>
      <c r="F175">
        <v>4</v>
      </c>
      <c r="G175">
        <v>19272</v>
      </c>
      <c r="H175">
        <v>6210</v>
      </c>
      <c r="I175" t="str">
        <f t="shared" si="4"/>
        <v>Dec-2024</v>
      </c>
      <c r="J175" s="2">
        <f t="shared" si="5"/>
        <v>0.32222914072229142</v>
      </c>
    </row>
    <row r="176" spans="1:10" x14ac:dyDescent="0.3">
      <c r="A176">
        <v>1175</v>
      </c>
      <c r="B176" s="1">
        <v>45546</v>
      </c>
      <c r="C176" t="s">
        <v>8</v>
      </c>
      <c r="D176" t="s">
        <v>15</v>
      </c>
      <c r="E176" t="s">
        <v>21</v>
      </c>
      <c r="F176">
        <v>2</v>
      </c>
      <c r="G176">
        <v>5741</v>
      </c>
      <c r="H176">
        <v>2004</v>
      </c>
      <c r="I176" t="str">
        <f t="shared" si="4"/>
        <v>Sep-2024</v>
      </c>
      <c r="J176" s="2">
        <f t="shared" si="5"/>
        <v>0.34906810660163734</v>
      </c>
    </row>
    <row r="177" spans="1:10" x14ac:dyDescent="0.3">
      <c r="A177">
        <v>1176</v>
      </c>
      <c r="B177" s="1">
        <v>45326</v>
      </c>
      <c r="C177" t="s">
        <v>18</v>
      </c>
      <c r="D177" t="s">
        <v>15</v>
      </c>
      <c r="E177" t="s">
        <v>21</v>
      </c>
      <c r="F177">
        <v>2</v>
      </c>
      <c r="G177">
        <v>19946</v>
      </c>
      <c r="H177">
        <v>-203</v>
      </c>
      <c r="I177" t="str">
        <f t="shared" si="4"/>
        <v>Feb-2024</v>
      </c>
      <c r="J177" s="2">
        <f t="shared" si="5"/>
        <v>-1.0177479193823323E-2</v>
      </c>
    </row>
    <row r="178" spans="1:10" x14ac:dyDescent="0.3">
      <c r="A178">
        <v>1177</v>
      </c>
      <c r="B178" s="1">
        <v>45459</v>
      </c>
      <c r="C178" t="s">
        <v>18</v>
      </c>
      <c r="D178" t="s">
        <v>11</v>
      </c>
      <c r="E178" t="s">
        <v>22</v>
      </c>
      <c r="F178">
        <v>1</v>
      </c>
      <c r="G178">
        <v>17304</v>
      </c>
      <c r="H178">
        <v>2112</v>
      </c>
      <c r="I178" t="str">
        <f t="shared" si="4"/>
        <v>Jun-2024</v>
      </c>
      <c r="J178" s="2">
        <f t="shared" si="5"/>
        <v>0.12205270457697642</v>
      </c>
    </row>
    <row r="179" spans="1:10" x14ac:dyDescent="0.3">
      <c r="A179">
        <v>1178</v>
      </c>
      <c r="B179" s="1">
        <v>45481</v>
      </c>
      <c r="C179" t="s">
        <v>8</v>
      </c>
      <c r="D179" t="s">
        <v>15</v>
      </c>
      <c r="E179" t="s">
        <v>16</v>
      </c>
      <c r="F179">
        <v>5</v>
      </c>
      <c r="G179">
        <v>5426</v>
      </c>
      <c r="H179">
        <v>-84</v>
      </c>
      <c r="I179" t="str">
        <f t="shared" si="4"/>
        <v>Jul-2024</v>
      </c>
      <c r="J179" s="2">
        <f t="shared" si="5"/>
        <v>-1.5481017323995577E-2</v>
      </c>
    </row>
    <row r="180" spans="1:10" x14ac:dyDescent="0.3">
      <c r="A180">
        <v>1179</v>
      </c>
      <c r="B180" s="1">
        <v>45461</v>
      </c>
      <c r="C180" t="s">
        <v>13</v>
      </c>
      <c r="D180" t="s">
        <v>9</v>
      </c>
      <c r="E180" t="s">
        <v>19</v>
      </c>
      <c r="F180">
        <v>2</v>
      </c>
      <c r="G180">
        <v>8359</v>
      </c>
      <c r="H180">
        <v>1791</v>
      </c>
      <c r="I180" t="str">
        <f t="shared" si="4"/>
        <v>Jun-2024</v>
      </c>
      <c r="J180" s="2">
        <f t="shared" si="5"/>
        <v>0.21426007895681301</v>
      </c>
    </row>
    <row r="181" spans="1:10" x14ac:dyDescent="0.3">
      <c r="A181">
        <v>1180</v>
      </c>
      <c r="B181" s="1">
        <v>45548</v>
      </c>
      <c r="C181" t="s">
        <v>13</v>
      </c>
      <c r="D181" t="s">
        <v>11</v>
      </c>
      <c r="E181" t="s">
        <v>17</v>
      </c>
      <c r="F181">
        <v>4</v>
      </c>
      <c r="G181">
        <v>15596</v>
      </c>
      <c r="H181">
        <v>3391</v>
      </c>
      <c r="I181" t="str">
        <f t="shared" si="4"/>
        <v>Sep-2024</v>
      </c>
      <c r="J181" s="2">
        <f t="shared" si="5"/>
        <v>0.21742754552449345</v>
      </c>
    </row>
    <row r="182" spans="1:10" x14ac:dyDescent="0.3">
      <c r="A182">
        <v>1181</v>
      </c>
      <c r="B182" s="1">
        <v>45651</v>
      </c>
      <c r="C182" t="s">
        <v>8</v>
      </c>
      <c r="D182" t="s">
        <v>15</v>
      </c>
      <c r="E182" t="s">
        <v>20</v>
      </c>
      <c r="F182">
        <v>4</v>
      </c>
      <c r="G182">
        <v>18554</v>
      </c>
      <c r="H182">
        <v>737</v>
      </c>
      <c r="I182" t="str">
        <f t="shared" si="4"/>
        <v>Dec-2024</v>
      </c>
      <c r="J182" s="2">
        <f t="shared" si="5"/>
        <v>3.9721892853293091E-2</v>
      </c>
    </row>
    <row r="183" spans="1:10" x14ac:dyDescent="0.3">
      <c r="A183">
        <v>1182</v>
      </c>
      <c r="B183" s="1">
        <v>45513</v>
      </c>
      <c r="C183" t="s">
        <v>18</v>
      </c>
      <c r="D183" t="s">
        <v>9</v>
      </c>
      <c r="E183" t="s">
        <v>19</v>
      </c>
      <c r="F183">
        <v>4</v>
      </c>
      <c r="G183">
        <v>1704</v>
      </c>
      <c r="H183">
        <v>617</v>
      </c>
      <c r="I183" t="str">
        <f t="shared" si="4"/>
        <v>Aug-2024</v>
      </c>
      <c r="J183" s="2">
        <f t="shared" si="5"/>
        <v>0.36208920187793425</v>
      </c>
    </row>
    <row r="184" spans="1:10" x14ac:dyDescent="0.3">
      <c r="A184">
        <v>1183</v>
      </c>
      <c r="B184" s="1">
        <v>45494</v>
      </c>
      <c r="C184" t="s">
        <v>18</v>
      </c>
      <c r="D184" t="s">
        <v>11</v>
      </c>
      <c r="E184" t="s">
        <v>17</v>
      </c>
      <c r="F184">
        <v>5</v>
      </c>
      <c r="G184">
        <v>13031</v>
      </c>
      <c r="H184">
        <v>1794</v>
      </c>
      <c r="I184" t="str">
        <f t="shared" si="4"/>
        <v>Jul-2024</v>
      </c>
      <c r="J184" s="2">
        <f t="shared" si="5"/>
        <v>0.13767170593200828</v>
      </c>
    </row>
    <row r="185" spans="1:10" x14ac:dyDescent="0.3">
      <c r="A185">
        <v>1184</v>
      </c>
      <c r="B185" s="1">
        <v>45352</v>
      </c>
      <c r="C185" t="s">
        <v>18</v>
      </c>
      <c r="D185" t="s">
        <v>9</v>
      </c>
      <c r="E185" t="s">
        <v>19</v>
      </c>
      <c r="F185">
        <v>5</v>
      </c>
      <c r="G185">
        <v>13864</v>
      </c>
      <c r="H185">
        <v>4756</v>
      </c>
      <c r="I185" t="str">
        <f t="shared" si="4"/>
        <v>Mar-2024</v>
      </c>
      <c r="J185" s="2">
        <f t="shared" si="5"/>
        <v>0.34304673975764571</v>
      </c>
    </row>
    <row r="186" spans="1:10" x14ac:dyDescent="0.3">
      <c r="A186">
        <v>1185</v>
      </c>
      <c r="B186" s="1">
        <v>45514</v>
      </c>
      <c r="C186" t="s">
        <v>8</v>
      </c>
      <c r="D186" t="s">
        <v>9</v>
      </c>
      <c r="E186" t="s">
        <v>19</v>
      </c>
      <c r="F186">
        <v>3</v>
      </c>
      <c r="G186">
        <v>10069</v>
      </c>
      <c r="H186">
        <v>-461</v>
      </c>
      <c r="I186" t="str">
        <f t="shared" si="4"/>
        <v>Aug-2024</v>
      </c>
      <c r="J186" s="2">
        <f t="shared" si="5"/>
        <v>-4.5784089780514452E-2</v>
      </c>
    </row>
    <row r="187" spans="1:10" x14ac:dyDescent="0.3">
      <c r="A187">
        <v>1186</v>
      </c>
      <c r="B187" s="1">
        <v>45359</v>
      </c>
      <c r="C187" t="s">
        <v>18</v>
      </c>
      <c r="D187" t="s">
        <v>15</v>
      </c>
      <c r="E187" t="s">
        <v>21</v>
      </c>
      <c r="F187">
        <v>2</v>
      </c>
      <c r="G187">
        <v>6847</v>
      </c>
      <c r="H187">
        <v>2440</v>
      </c>
      <c r="I187" t="str">
        <f t="shared" si="4"/>
        <v>Mar-2024</v>
      </c>
      <c r="J187" s="2">
        <f t="shared" si="5"/>
        <v>0.35636044983204324</v>
      </c>
    </row>
    <row r="188" spans="1:10" x14ac:dyDescent="0.3">
      <c r="A188">
        <v>1187</v>
      </c>
      <c r="B188" s="1">
        <v>45303</v>
      </c>
      <c r="C188" t="s">
        <v>13</v>
      </c>
      <c r="D188" t="s">
        <v>9</v>
      </c>
      <c r="E188" t="s">
        <v>19</v>
      </c>
      <c r="F188">
        <v>5</v>
      </c>
      <c r="G188">
        <v>6428</v>
      </c>
      <c r="H188">
        <v>805</v>
      </c>
      <c r="I188" t="str">
        <f t="shared" si="4"/>
        <v>Jan-2024</v>
      </c>
      <c r="J188" s="2">
        <f t="shared" si="5"/>
        <v>0.12523335407591785</v>
      </c>
    </row>
    <row r="189" spans="1:10" x14ac:dyDescent="0.3">
      <c r="A189">
        <v>1188</v>
      </c>
      <c r="B189" s="1">
        <v>45295</v>
      </c>
      <c r="C189" t="s">
        <v>18</v>
      </c>
      <c r="D189" t="s">
        <v>11</v>
      </c>
      <c r="E189" t="s">
        <v>22</v>
      </c>
      <c r="F189">
        <v>4</v>
      </c>
      <c r="G189">
        <v>8340</v>
      </c>
      <c r="H189">
        <v>3195</v>
      </c>
      <c r="I189" t="str">
        <f t="shared" si="4"/>
        <v>Jan-2024</v>
      </c>
      <c r="J189" s="2">
        <f t="shared" si="5"/>
        <v>0.38309352517985612</v>
      </c>
    </row>
    <row r="190" spans="1:10" x14ac:dyDescent="0.3">
      <c r="A190">
        <v>1189</v>
      </c>
      <c r="B190" s="1">
        <v>45318</v>
      </c>
      <c r="C190" t="s">
        <v>8</v>
      </c>
      <c r="D190" t="s">
        <v>11</v>
      </c>
      <c r="E190" t="s">
        <v>17</v>
      </c>
      <c r="F190">
        <v>5</v>
      </c>
      <c r="G190">
        <v>18094</v>
      </c>
      <c r="H190">
        <v>2252</v>
      </c>
      <c r="I190" t="str">
        <f t="shared" si="4"/>
        <v>Jan-2024</v>
      </c>
      <c r="J190" s="2">
        <f t="shared" si="5"/>
        <v>0.12446114734166022</v>
      </c>
    </row>
    <row r="191" spans="1:10" x14ac:dyDescent="0.3">
      <c r="A191">
        <v>1190</v>
      </c>
      <c r="B191" s="1">
        <v>45524</v>
      </c>
      <c r="C191" t="s">
        <v>18</v>
      </c>
      <c r="D191" t="s">
        <v>9</v>
      </c>
      <c r="E191" t="s">
        <v>14</v>
      </c>
      <c r="F191">
        <v>2</v>
      </c>
      <c r="G191">
        <v>7636</v>
      </c>
      <c r="H191">
        <v>1985</v>
      </c>
      <c r="I191" t="str">
        <f t="shared" si="4"/>
        <v>Aug-2024</v>
      </c>
      <c r="J191" s="2">
        <f t="shared" si="5"/>
        <v>0.2599528548978523</v>
      </c>
    </row>
    <row r="192" spans="1:10" x14ac:dyDescent="0.3">
      <c r="A192">
        <v>1191</v>
      </c>
      <c r="B192" s="1">
        <v>45464</v>
      </c>
      <c r="C192" t="s">
        <v>8</v>
      </c>
      <c r="D192" t="s">
        <v>9</v>
      </c>
      <c r="E192" t="s">
        <v>14</v>
      </c>
      <c r="F192">
        <v>3</v>
      </c>
      <c r="G192">
        <v>18228</v>
      </c>
      <c r="H192">
        <v>6247</v>
      </c>
      <c r="I192" t="str">
        <f t="shared" si="4"/>
        <v>Jun-2024</v>
      </c>
      <c r="J192" s="2">
        <f t="shared" si="5"/>
        <v>0.34271450515690149</v>
      </c>
    </row>
    <row r="193" spans="1:10" x14ac:dyDescent="0.3">
      <c r="A193">
        <v>1192</v>
      </c>
      <c r="B193" s="1">
        <v>45353</v>
      </c>
      <c r="C193" t="s">
        <v>18</v>
      </c>
      <c r="D193" t="s">
        <v>15</v>
      </c>
      <c r="E193" t="s">
        <v>21</v>
      </c>
      <c r="F193">
        <v>3</v>
      </c>
      <c r="G193">
        <v>3241</v>
      </c>
      <c r="H193">
        <v>-307</v>
      </c>
      <c r="I193" t="str">
        <f t="shared" si="4"/>
        <v>Mar-2024</v>
      </c>
      <c r="J193" s="2">
        <f t="shared" si="5"/>
        <v>-9.4723850663375506E-2</v>
      </c>
    </row>
    <row r="194" spans="1:10" x14ac:dyDescent="0.3">
      <c r="A194">
        <v>1193</v>
      </c>
      <c r="B194" s="1">
        <v>45479</v>
      </c>
      <c r="C194" t="s">
        <v>18</v>
      </c>
      <c r="D194" t="s">
        <v>9</v>
      </c>
      <c r="E194" t="s">
        <v>14</v>
      </c>
      <c r="F194">
        <v>1</v>
      </c>
      <c r="G194">
        <v>18439</v>
      </c>
      <c r="H194">
        <v>-213</v>
      </c>
      <c r="I194" t="str">
        <f t="shared" si="4"/>
        <v>Jul-2024</v>
      </c>
      <c r="J194" s="2">
        <f t="shared" si="5"/>
        <v>-1.1551602581484896E-2</v>
      </c>
    </row>
    <row r="195" spans="1:10" x14ac:dyDescent="0.3">
      <c r="A195">
        <v>1194</v>
      </c>
      <c r="B195" s="1">
        <v>45336</v>
      </c>
      <c r="C195" t="s">
        <v>18</v>
      </c>
      <c r="D195" t="s">
        <v>9</v>
      </c>
      <c r="E195" t="s">
        <v>14</v>
      </c>
      <c r="F195">
        <v>4</v>
      </c>
      <c r="G195">
        <v>8613</v>
      </c>
      <c r="H195">
        <v>-228</v>
      </c>
      <c r="I195" t="str">
        <f t="shared" ref="I195:I258" si="6">TEXT(B195,"mmm-yyyy")</f>
        <v>Feb-2024</v>
      </c>
      <c r="J195" s="2">
        <f t="shared" ref="J195:J258" si="7">H195/G195</f>
        <v>-2.647161267850923E-2</v>
      </c>
    </row>
    <row r="196" spans="1:10" x14ac:dyDescent="0.3">
      <c r="A196">
        <v>1195</v>
      </c>
      <c r="B196" s="1">
        <v>45371</v>
      </c>
      <c r="C196" t="s">
        <v>13</v>
      </c>
      <c r="D196" t="s">
        <v>11</v>
      </c>
      <c r="E196" t="s">
        <v>12</v>
      </c>
      <c r="F196">
        <v>1</v>
      </c>
      <c r="G196">
        <v>7474</v>
      </c>
      <c r="H196">
        <v>-55</v>
      </c>
      <c r="I196" t="str">
        <f t="shared" si="6"/>
        <v>Mar-2024</v>
      </c>
      <c r="J196" s="2">
        <f t="shared" si="7"/>
        <v>-7.3588439925073587E-3</v>
      </c>
    </row>
    <row r="197" spans="1:10" x14ac:dyDescent="0.3">
      <c r="A197">
        <v>1196</v>
      </c>
      <c r="B197" s="1">
        <v>45451</v>
      </c>
      <c r="C197" t="s">
        <v>13</v>
      </c>
      <c r="D197" t="s">
        <v>11</v>
      </c>
      <c r="E197" t="s">
        <v>22</v>
      </c>
      <c r="F197">
        <v>5</v>
      </c>
      <c r="G197">
        <v>11078</v>
      </c>
      <c r="H197">
        <v>355</v>
      </c>
      <c r="I197" t="str">
        <f t="shared" si="6"/>
        <v>Jun-2024</v>
      </c>
      <c r="J197" s="2">
        <f t="shared" si="7"/>
        <v>3.2045495576818919E-2</v>
      </c>
    </row>
    <row r="198" spans="1:10" x14ac:dyDescent="0.3">
      <c r="A198">
        <v>1197</v>
      </c>
      <c r="B198" s="1">
        <v>45559</v>
      </c>
      <c r="C198" t="s">
        <v>18</v>
      </c>
      <c r="D198" t="s">
        <v>15</v>
      </c>
      <c r="E198" t="s">
        <v>16</v>
      </c>
      <c r="F198">
        <v>3</v>
      </c>
      <c r="G198">
        <v>17948</v>
      </c>
      <c r="H198">
        <v>1898</v>
      </c>
      <c r="I198" t="str">
        <f t="shared" si="6"/>
        <v>Sep-2024</v>
      </c>
      <c r="J198" s="2">
        <f t="shared" si="7"/>
        <v>0.10574994428348562</v>
      </c>
    </row>
    <row r="199" spans="1:10" x14ac:dyDescent="0.3">
      <c r="A199">
        <v>1198</v>
      </c>
      <c r="B199" s="1">
        <v>45419</v>
      </c>
      <c r="C199" t="s">
        <v>18</v>
      </c>
      <c r="D199" t="s">
        <v>15</v>
      </c>
      <c r="E199" t="s">
        <v>21</v>
      </c>
      <c r="F199">
        <v>5</v>
      </c>
      <c r="G199">
        <v>17421</v>
      </c>
      <c r="H199">
        <v>-281</v>
      </c>
      <c r="I199" t="str">
        <f t="shared" si="6"/>
        <v>May-2024</v>
      </c>
      <c r="J199" s="2">
        <f t="shared" si="7"/>
        <v>-1.6129958096550139E-2</v>
      </c>
    </row>
    <row r="200" spans="1:10" x14ac:dyDescent="0.3">
      <c r="A200">
        <v>1199</v>
      </c>
      <c r="B200" s="1">
        <v>45529</v>
      </c>
      <c r="C200" t="s">
        <v>18</v>
      </c>
      <c r="D200" t="s">
        <v>11</v>
      </c>
      <c r="E200" t="s">
        <v>22</v>
      </c>
      <c r="F200">
        <v>1</v>
      </c>
      <c r="G200">
        <v>1790</v>
      </c>
      <c r="H200">
        <v>379</v>
      </c>
      <c r="I200" t="str">
        <f t="shared" si="6"/>
        <v>Aug-2024</v>
      </c>
      <c r="J200" s="2">
        <f t="shared" si="7"/>
        <v>0.21173184357541899</v>
      </c>
    </row>
    <row r="201" spans="1:10" x14ac:dyDescent="0.3">
      <c r="A201">
        <v>1200</v>
      </c>
      <c r="B201" s="1">
        <v>45453</v>
      </c>
      <c r="C201" t="s">
        <v>18</v>
      </c>
      <c r="D201" t="s">
        <v>15</v>
      </c>
      <c r="E201" t="s">
        <v>16</v>
      </c>
      <c r="F201">
        <v>1</v>
      </c>
      <c r="G201">
        <v>7065</v>
      </c>
      <c r="H201">
        <v>1122</v>
      </c>
      <c r="I201" t="str">
        <f t="shared" si="6"/>
        <v>Jun-2024</v>
      </c>
      <c r="J201" s="2">
        <f t="shared" si="7"/>
        <v>0.15881104033970275</v>
      </c>
    </row>
    <row r="202" spans="1:10" x14ac:dyDescent="0.3">
      <c r="A202">
        <v>1201</v>
      </c>
      <c r="B202" s="1">
        <v>45540</v>
      </c>
      <c r="C202" t="s">
        <v>8</v>
      </c>
      <c r="D202" t="s">
        <v>15</v>
      </c>
      <c r="E202" t="s">
        <v>20</v>
      </c>
      <c r="F202">
        <v>3</v>
      </c>
      <c r="G202">
        <v>4201</v>
      </c>
      <c r="H202">
        <v>372</v>
      </c>
      <c r="I202" t="str">
        <f t="shared" si="6"/>
        <v>Sep-2024</v>
      </c>
      <c r="J202" s="2">
        <f t="shared" si="7"/>
        <v>8.8550345155915255E-2</v>
      </c>
    </row>
    <row r="203" spans="1:10" x14ac:dyDescent="0.3">
      <c r="A203">
        <v>1202</v>
      </c>
      <c r="B203" s="1">
        <v>45496</v>
      </c>
      <c r="C203" t="s">
        <v>8</v>
      </c>
      <c r="D203" t="s">
        <v>11</v>
      </c>
      <c r="E203" t="s">
        <v>12</v>
      </c>
      <c r="F203">
        <v>4</v>
      </c>
      <c r="G203">
        <v>10439</v>
      </c>
      <c r="H203">
        <v>3096</v>
      </c>
      <c r="I203" t="str">
        <f t="shared" si="6"/>
        <v>Jul-2024</v>
      </c>
      <c r="J203" s="2">
        <f t="shared" si="7"/>
        <v>0.29658013219657053</v>
      </c>
    </row>
    <row r="204" spans="1:10" x14ac:dyDescent="0.3">
      <c r="A204">
        <v>1203</v>
      </c>
      <c r="B204" s="1">
        <v>45457</v>
      </c>
      <c r="C204" t="s">
        <v>8</v>
      </c>
      <c r="D204" t="s">
        <v>9</v>
      </c>
      <c r="E204" t="s">
        <v>19</v>
      </c>
      <c r="F204">
        <v>2</v>
      </c>
      <c r="G204">
        <v>4849</v>
      </c>
      <c r="H204">
        <v>678</v>
      </c>
      <c r="I204" t="str">
        <f t="shared" si="6"/>
        <v>Jun-2024</v>
      </c>
      <c r="J204" s="2">
        <f t="shared" si="7"/>
        <v>0.13982264384409157</v>
      </c>
    </row>
    <row r="205" spans="1:10" x14ac:dyDescent="0.3">
      <c r="A205">
        <v>1204</v>
      </c>
      <c r="B205" s="1">
        <v>45641</v>
      </c>
      <c r="C205" t="s">
        <v>13</v>
      </c>
      <c r="D205" t="s">
        <v>15</v>
      </c>
      <c r="E205" t="s">
        <v>21</v>
      </c>
      <c r="F205">
        <v>1</v>
      </c>
      <c r="G205">
        <v>17388</v>
      </c>
      <c r="H205">
        <v>4444</v>
      </c>
      <c r="I205" t="str">
        <f t="shared" si="6"/>
        <v>Dec-2024</v>
      </c>
      <c r="J205" s="2">
        <f t="shared" si="7"/>
        <v>0.25557855992638601</v>
      </c>
    </row>
    <row r="206" spans="1:10" x14ac:dyDescent="0.3">
      <c r="A206">
        <v>1205</v>
      </c>
      <c r="B206" s="1">
        <v>45440</v>
      </c>
      <c r="C206" t="s">
        <v>18</v>
      </c>
      <c r="D206" t="s">
        <v>9</v>
      </c>
      <c r="E206" t="s">
        <v>14</v>
      </c>
      <c r="F206">
        <v>4</v>
      </c>
      <c r="G206">
        <v>16935</v>
      </c>
      <c r="H206">
        <v>5088</v>
      </c>
      <c r="I206" t="str">
        <f t="shared" si="6"/>
        <v>May-2024</v>
      </c>
      <c r="J206" s="2">
        <f t="shared" si="7"/>
        <v>0.30044286979627988</v>
      </c>
    </row>
    <row r="207" spans="1:10" x14ac:dyDescent="0.3">
      <c r="A207">
        <v>1206</v>
      </c>
      <c r="B207" s="1">
        <v>45513</v>
      </c>
      <c r="C207" t="s">
        <v>13</v>
      </c>
      <c r="D207" t="s">
        <v>15</v>
      </c>
      <c r="E207" t="s">
        <v>20</v>
      </c>
      <c r="F207">
        <v>5</v>
      </c>
      <c r="G207">
        <v>13382</v>
      </c>
      <c r="H207">
        <v>4981</v>
      </c>
      <c r="I207" t="str">
        <f t="shared" si="6"/>
        <v>Aug-2024</v>
      </c>
      <c r="J207" s="2">
        <f t="shared" si="7"/>
        <v>0.37221641010312362</v>
      </c>
    </row>
    <row r="208" spans="1:10" x14ac:dyDescent="0.3">
      <c r="A208">
        <v>1207</v>
      </c>
      <c r="B208" s="1">
        <v>45444</v>
      </c>
      <c r="C208" t="s">
        <v>8</v>
      </c>
      <c r="D208" t="s">
        <v>11</v>
      </c>
      <c r="E208" t="s">
        <v>22</v>
      </c>
      <c r="F208">
        <v>2</v>
      </c>
      <c r="G208">
        <v>1082</v>
      </c>
      <c r="H208">
        <v>317</v>
      </c>
      <c r="I208" t="str">
        <f t="shared" si="6"/>
        <v>Jun-2024</v>
      </c>
      <c r="J208" s="2">
        <f t="shared" si="7"/>
        <v>0.29297597042513862</v>
      </c>
    </row>
    <row r="209" spans="1:10" x14ac:dyDescent="0.3">
      <c r="A209">
        <v>1208</v>
      </c>
      <c r="B209" s="1">
        <v>45448</v>
      </c>
      <c r="C209" t="s">
        <v>18</v>
      </c>
      <c r="D209" t="s">
        <v>11</v>
      </c>
      <c r="E209" t="s">
        <v>12</v>
      </c>
      <c r="F209">
        <v>2</v>
      </c>
      <c r="G209">
        <v>2770</v>
      </c>
      <c r="H209">
        <v>-263</v>
      </c>
      <c r="I209" t="str">
        <f t="shared" si="6"/>
        <v>Jun-2024</v>
      </c>
      <c r="J209" s="2">
        <f t="shared" si="7"/>
        <v>-9.4945848375451267E-2</v>
      </c>
    </row>
    <row r="210" spans="1:10" x14ac:dyDescent="0.3">
      <c r="A210">
        <v>1209</v>
      </c>
      <c r="B210" s="1">
        <v>45565</v>
      </c>
      <c r="C210" t="s">
        <v>8</v>
      </c>
      <c r="D210" t="s">
        <v>9</v>
      </c>
      <c r="E210" t="s">
        <v>10</v>
      </c>
      <c r="F210">
        <v>2</v>
      </c>
      <c r="G210">
        <v>17981</v>
      </c>
      <c r="H210">
        <v>2270</v>
      </c>
      <c r="I210" t="str">
        <f t="shared" si="6"/>
        <v>Sep-2024</v>
      </c>
      <c r="J210" s="2">
        <f t="shared" si="7"/>
        <v>0.12624436905622602</v>
      </c>
    </row>
    <row r="211" spans="1:10" x14ac:dyDescent="0.3">
      <c r="A211">
        <v>1210</v>
      </c>
      <c r="B211" s="1">
        <v>45382</v>
      </c>
      <c r="C211" t="s">
        <v>13</v>
      </c>
      <c r="D211" t="s">
        <v>11</v>
      </c>
      <c r="E211" t="s">
        <v>12</v>
      </c>
      <c r="F211">
        <v>3</v>
      </c>
      <c r="G211">
        <v>16667</v>
      </c>
      <c r="H211">
        <v>4164</v>
      </c>
      <c r="I211" t="str">
        <f t="shared" si="6"/>
        <v>Mar-2024</v>
      </c>
      <c r="J211" s="2">
        <f t="shared" si="7"/>
        <v>0.24983500329993399</v>
      </c>
    </row>
    <row r="212" spans="1:10" x14ac:dyDescent="0.3">
      <c r="A212">
        <v>1211</v>
      </c>
      <c r="B212" s="1">
        <v>45430</v>
      </c>
      <c r="C212" t="s">
        <v>13</v>
      </c>
      <c r="D212" t="s">
        <v>11</v>
      </c>
      <c r="E212" t="s">
        <v>17</v>
      </c>
      <c r="F212">
        <v>5</v>
      </c>
      <c r="G212">
        <v>15728</v>
      </c>
      <c r="H212">
        <v>4784</v>
      </c>
      <c r="I212" t="str">
        <f t="shared" si="6"/>
        <v>May-2024</v>
      </c>
      <c r="J212" s="2">
        <f t="shared" si="7"/>
        <v>0.3041709053916582</v>
      </c>
    </row>
    <row r="213" spans="1:10" x14ac:dyDescent="0.3">
      <c r="A213">
        <v>1212</v>
      </c>
      <c r="B213" s="1">
        <v>45512</v>
      </c>
      <c r="C213" t="s">
        <v>18</v>
      </c>
      <c r="D213" t="s">
        <v>15</v>
      </c>
      <c r="E213" t="s">
        <v>20</v>
      </c>
      <c r="F213">
        <v>1</v>
      </c>
      <c r="G213">
        <v>8751</v>
      </c>
      <c r="H213">
        <v>-182</v>
      </c>
      <c r="I213" t="str">
        <f t="shared" si="6"/>
        <v>Aug-2024</v>
      </c>
      <c r="J213" s="2">
        <f t="shared" si="7"/>
        <v>-2.0797623128785282E-2</v>
      </c>
    </row>
    <row r="214" spans="1:10" x14ac:dyDescent="0.3">
      <c r="A214">
        <v>1213</v>
      </c>
      <c r="B214" s="1">
        <v>45474</v>
      </c>
      <c r="C214" t="s">
        <v>8</v>
      </c>
      <c r="D214" t="s">
        <v>9</v>
      </c>
      <c r="E214" t="s">
        <v>14</v>
      </c>
      <c r="F214">
        <v>5</v>
      </c>
      <c r="G214">
        <v>5959</v>
      </c>
      <c r="H214">
        <v>2162</v>
      </c>
      <c r="I214" t="str">
        <f t="shared" si="6"/>
        <v>Jul-2024</v>
      </c>
      <c r="J214" s="2">
        <f t="shared" si="7"/>
        <v>0.36281255244168487</v>
      </c>
    </row>
    <row r="215" spans="1:10" x14ac:dyDescent="0.3">
      <c r="A215">
        <v>1214</v>
      </c>
      <c r="B215" s="1">
        <v>45295</v>
      </c>
      <c r="C215" t="s">
        <v>13</v>
      </c>
      <c r="D215" t="s">
        <v>15</v>
      </c>
      <c r="E215" t="s">
        <v>21</v>
      </c>
      <c r="F215">
        <v>5</v>
      </c>
      <c r="G215">
        <v>6571</v>
      </c>
      <c r="H215">
        <v>2626</v>
      </c>
      <c r="I215" t="str">
        <f t="shared" si="6"/>
        <v>Jan-2024</v>
      </c>
      <c r="J215" s="2">
        <f t="shared" si="7"/>
        <v>0.39963475878861665</v>
      </c>
    </row>
    <row r="216" spans="1:10" x14ac:dyDescent="0.3">
      <c r="A216">
        <v>1215</v>
      </c>
      <c r="B216" s="1">
        <v>45513</v>
      </c>
      <c r="C216" t="s">
        <v>18</v>
      </c>
      <c r="D216" t="s">
        <v>11</v>
      </c>
      <c r="E216" t="s">
        <v>17</v>
      </c>
      <c r="F216">
        <v>4</v>
      </c>
      <c r="G216">
        <v>4036</v>
      </c>
      <c r="H216">
        <v>-350</v>
      </c>
      <c r="I216" t="str">
        <f t="shared" si="6"/>
        <v>Aug-2024</v>
      </c>
      <c r="J216" s="2">
        <f t="shared" si="7"/>
        <v>-8.67195242814668E-2</v>
      </c>
    </row>
    <row r="217" spans="1:10" x14ac:dyDescent="0.3">
      <c r="A217">
        <v>1216</v>
      </c>
      <c r="B217" s="1">
        <v>45527</v>
      </c>
      <c r="C217" t="s">
        <v>8</v>
      </c>
      <c r="D217" t="s">
        <v>11</v>
      </c>
      <c r="E217" t="s">
        <v>22</v>
      </c>
      <c r="F217">
        <v>5</v>
      </c>
      <c r="G217">
        <v>15115</v>
      </c>
      <c r="H217">
        <v>5995</v>
      </c>
      <c r="I217" t="str">
        <f t="shared" si="6"/>
        <v>Aug-2024</v>
      </c>
      <c r="J217" s="2">
        <f t="shared" si="7"/>
        <v>0.39662586834270591</v>
      </c>
    </row>
    <row r="218" spans="1:10" x14ac:dyDescent="0.3">
      <c r="A218">
        <v>1217</v>
      </c>
      <c r="B218" s="1">
        <v>45628</v>
      </c>
      <c r="C218" t="s">
        <v>13</v>
      </c>
      <c r="D218" t="s">
        <v>9</v>
      </c>
      <c r="E218" t="s">
        <v>14</v>
      </c>
      <c r="F218">
        <v>4</v>
      </c>
      <c r="G218">
        <v>3287</v>
      </c>
      <c r="H218">
        <v>1031</v>
      </c>
      <c r="I218" t="str">
        <f t="shared" si="6"/>
        <v>Dec-2024</v>
      </c>
      <c r="J218" s="2">
        <f t="shared" si="7"/>
        <v>0.31365987222391239</v>
      </c>
    </row>
    <row r="219" spans="1:10" x14ac:dyDescent="0.3">
      <c r="A219">
        <v>1218</v>
      </c>
      <c r="B219" s="1">
        <v>45573</v>
      </c>
      <c r="C219" t="s">
        <v>18</v>
      </c>
      <c r="D219" t="s">
        <v>11</v>
      </c>
      <c r="E219" t="s">
        <v>17</v>
      </c>
      <c r="F219">
        <v>4</v>
      </c>
      <c r="G219">
        <v>17904</v>
      </c>
      <c r="H219">
        <v>-68</v>
      </c>
      <c r="I219" t="str">
        <f t="shared" si="6"/>
        <v>Oct-2024</v>
      </c>
      <c r="J219" s="2">
        <f t="shared" si="7"/>
        <v>-3.7980339588918675E-3</v>
      </c>
    </row>
    <row r="220" spans="1:10" x14ac:dyDescent="0.3">
      <c r="A220">
        <v>1219</v>
      </c>
      <c r="B220" s="1">
        <v>45432</v>
      </c>
      <c r="C220" t="s">
        <v>18</v>
      </c>
      <c r="D220" t="s">
        <v>11</v>
      </c>
      <c r="E220" t="s">
        <v>17</v>
      </c>
      <c r="F220">
        <v>2</v>
      </c>
      <c r="G220">
        <v>7106</v>
      </c>
      <c r="H220">
        <v>-264</v>
      </c>
      <c r="I220" t="str">
        <f t="shared" si="6"/>
        <v>May-2024</v>
      </c>
      <c r="J220" s="2">
        <f t="shared" si="7"/>
        <v>-3.7151702786377708E-2</v>
      </c>
    </row>
    <row r="221" spans="1:10" x14ac:dyDescent="0.3">
      <c r="A221">
        <v>1220</v>
      </c>
      <c r="B221" s="1">
        <v>45399</v>
      </c>
      <c r="C221" t="s">
        <v>13</v>
      </c>
      <c r="D221" t="s">
        <v>9</v>
      </c>
      <c r="E221" t="s">
        <v>14</v>
      </c>
      <c r="F221">
        <v>4</v>
      </c>
      <c r="G221">
        <v>2300</v>
      </c>
      <c r="H221">
        <v>813</v>
      </c>
      <c r="I221" t="str">
        <f t="shared" si="6"/>
        <v>Apr-2024</v>
      </c>
      <c r="J221" s="2">
        <f t="shared" si="7"/>
        <v>0.35347826086956524</v>
      </c>
    </row>
    <row r="222" spans="1:10" x14ac:dyDescent="0.3">
      <c r="A222">
        <v>1221</v>
      </c>
      <c r="B222" s="1">
        <v>45625</v>
      </c>
      <c r="C222" t="s">
        <v>18</v>
      </c>
      <c r="D222" t="s">
        <v>15</v>
      </c>
      <c r="E222" t="s">
        <v>20</v>
      </c>
      <c r="F222">
        <v>2</v>
      </c>
      <c r="G222">
        <v>4242</v>
      </c>
      <c r="H222">
        <v>1202</v>
      </c>
      <c r="I222" t="str">
        <f t="shared" si="6"/>
        <v>Nov-2024</v>
      </c>
      <c r="J222" s="2">
        <f t="shared" si="7"/>
        <v>0.28335690711928335</v>
      </c>
    </row>
    <row r="223" spans="1:10" x14ac:dyDescent="0.3">
      <c r="A223">
        <v>1222</v>
      </c>
      <c r="B223" s="1">
        <v>45462</v>
      </c>
      <c r="C223" t="s">
        <v>18</v>
      </c>
      <c r="D223" t="s">
        <v>15</v>
      </c>
      <c r="E223" t="s">
        <v>20</v>
      </c>
      <c r="F223">
        <v>1</v>
      </c>
      <c r="G223">
        <v>4655</v>
      </c>
      <c r="H223">
        <v>1516</v>
      </c>
      <c r="I223" t="str">
        <f t="shared" si="6"/>
        <v>Jun-2024</v>
      </c>
      <c r="J223" s="2">
        <f t="shared" si="7"/>
        <v>0.32567132116004294</v>
      </c>
    </row>
    <row r="224" spans="1:10" x14ac:dyDescent="0.3">
      <c r="A224">
        <v>1223</v>
      </c>
      <c r="B224" s="1">
        <v>45426</v>
      </c>
      <c r="C224" t="s">
        <v>13</v>
      </c>
      <c r="D224" t="s">
        <v>9</v>
      </c>
      <c r="E224" t="s">
        <v>10</v>
      </c>
      <c r="F224">
        <v>4</v>
      </c>
      <c r="G224">
        <v>16658</v>
      </c>
      <c r="H224">
        <v>1719</v>
      </c>
      <c r="I224" t="str">
        <f t="shared" si="6"/>
        <v>May-2024</v>
      </c>
      <c r="J224" s="2">
        <f t="shared" si="7"/>
        <v>0.10319366070356585</v>
      </c>
    </row>
    <row r="225" spans="1:10" x14ac:dyDescent="0.3">
      <c r="A225">
        <v>1224</v>
      </c>
      <c r="B225" s="1">
        <v>45623</v>
      </c>
      <c r="C225" t="s">
        <v>8</v>
      </c>
      <c r="D225" t="s">
        <v>11</v>
      </c>
      <c r="E225" t="s">
        <v>12</v>
      </c>
      <c r="F225">
        <v>5</v>
      </c>
      <c r="G225">
        <v>6402</v>
      </c>
      <c r="H225">
        <v>1571</v>
      </c>
      <c r="I225" t="str">
        <f t="shared" si="6"/>
        <v>Nov-2024</v>
      </c>
      <c r="J225" s="2">
        <f t="shared" si="7"/>
        <v>0.24539206497969385</v>
      </c>
    </row>
    <row r="226" spans="1:10" x14ac:dyDescent="0.3">
      <c r="A226">
        <v>1225</v>
      </c>
      <c r="B226" s="1">
        <v>45296</v>
      </c>
      <c r="C226" t="s">
        <v>13</v>
      </c>
      <c r="D226" t="s">
        <v>9</v>
      </c>
      <c r="E226" t="s">
        <v>10</v>
      </c>
      <c r="F226">
        <v>4</v>
      </c>
      <c r="G226">
        <v>11847</v>
      </c>
      <c r="H226">
        <v>4617</v>
      </c>
      <c r="I226" t="str">
        <f t="shared" si="6"/>
        <v>Jan-2024</v>
      </c>
      <c r="J226" s="2">
        <f t="shared" si="7"/>
        <v>0.38971891618131171</v>
      </c>
    </row>
    <row r="227" spans="1:10" x14ac:dyDescent="0.3">
      <c r="A227">
        <v>1226</v>
      </c>
      <c r="B227" s="1">
        <v>45531</v>
      </c>
      <c r="C227" t="s">
        <v>8</v>
      </c>
      <c r="D227" t="s">
        <v>9</v>
      </c>
      <c r="E227" t="s">
        <v>10</v>
      </c>
      <c r="F227">
        <v>4</v>
      </c>
      <c r="G227">
        <v>19680</v>
      </c>
      <c r="H227">
        <v>7427</v>
      </c>
      <c r="I227" t="str">
        <f t="shared" si="6"/>
        <v>Aug-2024</v>
      </c>
      <c r="J227" s="2">
        <f t="shared" si="7"/>
        <v>0.37738821138211381</v>
      </c>
    </row>
    <row r="228" spans="1:10" x14ac:dyDescent="0.3">
      <c r="A228">
        <v>1227</v>
      </c>
      <c r="B228" s="1">
        <v>45360</v>
      </c>
      <c r="C228" t="s">
        <v>13</v>
      </c>
      <c r="D228" t="s">
        <v>9</v>
      </c>
      <c r="E228" t="s">
        <v>10</v>
      </c>
      <c r="F228">
        <v>3</v>
      </c>
      <c r="G228">
        <v>17514</v>
      </c>
      <c r="H228">
        <v>3322</v>
      </c>
      <c r="I228" t="str">
        <f t="shared" si="6"/>
        <v>Mar-2024</v>
      </c>
      <c r="J228" s="2">
        <f t="shared" si="7"/>
        <v>0.18967682996459975</v>
      </c>
    </row>
    <row r="229" spans="1:10" x14ac:dyDescent="0.3">
      <c r="A229">
        <v>1228</v>
      </c>
      <c r="B229" s="1">
        <v>45578</v>
      </c>
      <c r="C229" t="s">
        <v>13</v>
      </c>
      <c r="D229" t="s">
        <v>15</v>
      </c>
      <c r="E229" t="s">
        <v>21</v>
      </c>
      <c r="F229">
        <v>4</v>
      </c>
      <c r="G229">
        <v>5553</v>
      </c>
      <c r="H229">
        <v>298</v>
      </c>
      <c r="I229" t="str">
        <f t="shared" si="6"/>
        <v>Oct-2024</v>
      </c>
      <c r="J229" s="2">
        <f t="shared" si="7"/>
        <v>5.3664685755447507E-2</v>
      </c>
    </row>
    <row r="230" spans="1:10" x14ac:dyDescent="0.3">
      <c r="A230">
        <v>1229</v>
      </c>
      <c r="B230" s="1">
        <v>45598</v>
      </c>
      <c r="C230" t="s">
        <v>8</v>
      </c>
      <c r="D230" t="s">
        <v>9</v>
      </c>
      <c r="E230" t="s">
        <v>10</v>
      </c>
      <c r="F230">
        <v>5</v>
      </c>
      <c r="G230">
        <v>8247</v>
      </c>
      <c r="H230">
        <v>3280</v>
      </c>
      <c r="I230" t="str">
        <f t="shared" si="6"/>
        <v>Nov-2024</v>
      </c>
      <c r="J230" s="2">
        <f t="shared" si="7"/>
        <v>0.39772038316963743</v>
      </c>
    </row>
    <row r="231" spans="1:10" x14ac:dyDescent="0.3">
      <c r="A231">
        <v>1230</v>
      </c>
      <c r="B231" s="1">
        <v>45362</v>
      </c>
      <c r="C231" t="s">
        <v>18</v>
      </c>
      <c r="D231" t="s">
        <v>15</v>
      </c>
      <c r="E231" t="s">
        <v>20</v>
      </c>
      <c r="F231">
        <v>2</v>
      </c>
      <c r="G231">
        <v>15753</v>
      </c>
      <c r="H231">
        <v>2872</v>
      </c>
      <c r="I231" t="str">
        <f t="shared" si="6"/>
        <v>Mar-2024</v>
      </c>
      <c r="J231" s="2">
        <f t="shared" si="7"/>
        <v>0.1823144797816289</v>
      </c>
    </row>
    <row r="232" spans="1:10" x14ac:dyDescent="0.3">
      <c r="A232">
        <v>1231</v>
      </c>
      <c r="B232" s="1">
        <v>45524</v>
      </c>
      <c r="C232" t="s">
        <v>18</v>
      </c>
      <c r="D232" t="s">
        <v>11</v>
      </c>
      <c r="E232" t="s">
        <v>17</v>
      </c>
      <c r="F232">
        <v>2</v>
      </c>
      <c r="G232">
        <v>2081</v>
      </c>
      <c r="H232">
        <v>537</v>
      </c>
      <c r="I232" t="str">
        <f t="shared" si="6"/>
        <v>Aug-2024</v>
      </c>
      <c r="J232" s="2">
        <f t="shared" si="7"/>
        <v>0.2580490148966843</v>
      </c>
    </row>
    <row r="233" spans="1:10" x14ac:dyDescent="0.3">
      <c r="A233">
        <v>1232</v>
      </c>
      <c r="B233" s="1">
        <v>45299</v>
      </c>
      <c r="C233" t="s">
        <v>13</v>
      </c>
      <c r="D233" t="s">
        <v>9</v>
      </c>
      <c r="E233" t="s">
        <v>10</v>
      </c>
      <c r="F233">
        <v>1</v>
      </c>
      <c r="G233">
        <v>3131</v>
      </c>
      <c r="H233">
        <v>750</v>
      </c>
      <c r="I233" t="str">
        <f t="shared" si="6"/>
        <v>Jan-2024</v>
      </c>
      <c r="J233" s="2">
        <f t="shared" si="7"/>
        <v>0.23954008304056212</v>
      </c>
    </row>
    <row r="234" spans="1:10" x14ac:dyDescent="0.3">
      <c r="A234">
        <v>1233</v>
      </c>
      <c r="B234" s="1">
        <v>45611</v>
      </c>
      <c r="C234" t="s">
        <v>8</v>
      </c>
      <c r="D234" t="s">
        <v>11</v>
      </c>
      <c r="E234" t="s">
        <v>12</v>
      </c>
      <c r="F234">
        <v>1</v>
      </c>
      <c r="G234">
        <v>14764</v>
      </c>
      <c r="H234">
        <v>-486</v>
      </c>
      <c r="I234" t="str">
        <f t="shared" si="6"/>
        <v>Nov-2024</v>
      </c>
      <c r="J234" s="2">
        <f t="shared" si="7"/>
        <v>-3.2917908425900838E-2</v>
      </c>
    </row>
    <row r="235" spans="1:10" x14ac:dyDescent="0.3">
      <c r="A235">
        <v>1234</v>
      </c>
      <c r="B235" s="1">
        <v>45370</v>
      </c>
      <c r="C235" t="s">
        <v>8</v>
      </c>
      <c r="D235" t="s">
        <v>15</v>
      </c>
      <c r="E235" t="s">
        <v>21</v>
      </c>
      <c r="F235">
        <v>4</v>
      </c>
      <c r="G235">
        <v>8353</v>
      </c>
      <c r="H235">
        <v>1068</v>
      </c>
      <c r="I235" t="str">
        <f t="shared" si="6"/>
        <v>Mar-2024</v>
      </c>
      <c r="J235" s="2">
        <f t="shared" si="7"/>
        <v>0.12785825451933436</v>
      </c>
    </row>
    <row r="236" spans="1:10" x14ac:dyDescent="0.3">
      <c r="A236">
        <v>1235</v>
      </c>
      <c r="B236" s="1">
        <v>45586</v>
      </c>
      <c r="C236" t="s">
        <v>13</v>
      </c>
      <c r="D236" t="s">
        <v>9</v>
      </c>
      <c r="E236" t="s">
        <v>14</v>
      </c>
      <c r="F236">
        <v>5</v>
      </c>
      <c r="G236">
        <v>7369</v>
      </c>
      <c r="H236">
        <v>204</v>
      </c>
      <c r="I236" t="str">
        <f t="shared" si="6"/>
        <v>Oct-2024</v>
      </c>
      <c r="J236" s="2">
        <f t="shared" si="7"/>
        <v>2.7683539150495318E-2</v>
      </c>
    </row>
    <row r="237" spans="1:10" x14ac:dyDescent="0.3">
      <c r="A237">
        <v>1236</v>
      </c>
      <c r="B237" s="1">
        <v>45337</v>
      </c>
      <c r="C237" t="s">
        <v>8</v>
      </c>
      <c r="D237" t="s">
        <v>15</v>
      </c>
      <c r="E237" t="s">
        <v>16</v>
      </c>
      <c r="F237">
        <v>5</v>
      </c>
      <c r="G237">
        <v>10427</v>
      </c>
      <c r="H237">
        <v>3225</v>
      </c>
      <c r="I237" t="str">
        <f t="shared" si="6"/>
        <v>Feb-2024</v>
      </c>
      <c r="J237" s="2">
        <f t="shared" si="7"/>
        <v>0.309293181164285</v>
      </c>
    </row>
    <row r="238" spans="1:10" x14ac:dyDescent="0.3">
      <c r="A238">
        <v>1237</v>
      </c>
      <c r="B238" s="1">
        <v>45517</v>
      </c>
      <c r="C238" t="s">
        <v>8</v>
      </c>
      <c r="D238" t="s">
        <v>9</v>
      </c>
      <c r="E238" t="s">
        <v>10</v>
      </c>
      <c r="F238">
        <v>2</v>
      </c>
      <c r="G238">
        <v>19901</v>
      </c>
      <c r="H238">
        <v>3802</v>
      </c>
      <c r="I238" t="str">
        <f t="shared" si="6"/>
        <v>Aug-2024</v>
      </c>
      <c r="J238" s="2">
        <f t="shared" si="7"/>
        <v>0.19104567609667855</v>
      </c>
    </row>
    <row r="239" spans="1:10" x14ac:dyDescent="0.3">
      <c r="A239">
        <v>1238</v>
      </c>
      <c r="B239" s="1">
        <v>45520</v>
      </c>
      <c r="C239" t="s">
        <v>13</v>
      </c>
      <c r="D239" t="s">
        <v>11</v>
      </c>
      <c r="E239" t="s">
        <v>12</v>
      </c>
      <c r="F239">
        <v>5</v>
      </c>
      <c r="G239">
        <v>11532</v>
      </c>
      <c r="H239">
        <v>2136</v>
      </c>
      <c r="I239" t="str">
        <f t="shared" si="6"/>
        <v>Aug-2024</v>
      </c>
      <c r="J239" s="2">
        <f t="shared" si="7"/>
        <v>0.18522372528616024</v>
      </c>
    </row>
    <row r="240" spans="1:10" x14ac:dyDescent="0.3">
      <c r="A240">
        <v>1239</v>
      </c>
      <c r="B240" s="1">
        <v>45457</v>
      </c>
      <c r="C240" t="s">
        <v>18</v>
      </c>
      <c r="D240" t="s">
        <v>15</v>
      </c>
      <c r="E240" t="s">
        <v>21</v>
      </c>
      <c r="F240">
        <v>1</v>
      </c>
      <c r="G240">
        <v>1385</v>
      </c>
      <c r="H240">
        <v>-496</v>
      </c>
      <c r="I240" t="str">
        <f t="shared" si="6"/>
        <v>Jun-2024</v>
      </c>
      <c r="J240" s="2">
        <f t="shared" si="7"/>
        <v>-0.35812274368231045</v>
      </c>
    </row>
    <row r="241" spans="1:10" x14ac:dyDescent="0.3">
      <c r="A241">
        <v>1240</v>
      </c>
      <c r="B241" s="1">
        <v>45464</v>
      </c>
      <c r="C241" t="s">
        <v>18</v>
      </c>
      <c r="D241" t="s">
        <v>11</v>
      </c>
      <c r="E241" t="s">
        <v>17</v>
      </c>
      <c r="F241">
        <v>2</v>
      </c>
      <c r="G241">
        <v>9148</v>
      </c>
      <c r="H241">
        <v>726</v>
      </c>
      <c r="I241" t="str">
        <f t="shared" si="6"/>
        <v>Jun-2024</v>
      </c>
      <c r="J241" s="2">
        <f t="shared" si="7"/>
        <v>7.9361609094884128E-2</v>
      </c>
    </row>
    <row r="242" spans="1:10" x14ac:dyDescent="0.3">
      <c r="A242">
        <v>1241</v>
      </c>
      <c r="B242" s="1">
        <v>45645</v>
      </c>
      <c r="C242" t="s">
        <v>8</v>
      </c>
      <c r="D242" t="s">
        <v>15</v>
      </c>
      <c r="E242" t="s">
        <v>20</v>
      </c>
      <c r="F242">
        <v>3</v>
      </c>
      <c r="G242">
        <v>4479</v>
      </c>
      <c r="H242">
        <v>136</v>
      </c>
      <c r="I242" t="str">
        <f t="shared" si="6"/>
        <v>Dec-2024</v>
      </c>
      <c r="J242" s="2">
        <f t="shared" si="7"/>
        <v>3.0363920517972761E-2</v>
      </c>
    </row>
    <row r="243" spans="1:10" x14ac:dyDescent="0.3">
      <c r="A243">
        <v>1242</v>
      </c>
      <c r="B243" s="1">
        <v>45436</v>
      </c>
      <c r="C243" t="s">
        <v>18</v>
      </c>
      <c r="D243" t="s">
        <v>9</v>
      </c>
      <c r="E243" t="s">
        <v>19</v>
      </c>
      <c r="F243">
        <v>1</v>
      </c>
      <c r="G243">
        <v>4926</v>
      </c>
      <c r="H243">
        <v>128</v>
      </c>
      <c r="I243" t="str">
        <f t="shared" si="6"/>
        <v>May-2024</v>
      </c>
      <c r="J243" s="2">
        <f t="shared" si="7"/>
        <v>2.5984571660576532E-2</v>
      </c>
    </row>
    <row r="244" spans="1:10" x14ac:dyDescent="0.3">
      <c r="A244">
        <v>1243</v>
      </c>
      <c r="B244" s="1">
        <v>45573</v>
      </c>
      <c r="C244" t="s">
        <v>18</v>
      </c>
      <c r="D244" t="s">
        <v>11</v>
      </c>
      <c r="E244" t="s">
        <v>12</v>
      </c>
      <c r="F244">
        <v>3</v>
      </c>
      <c r="G244">
        <v>5773</v>
      </c>
      <c r="H244">
        <v>285</v>
      </c>
      <c r="I244" t="str">
        <f t="shared" si="6"/>
        <v>Oct-2024</v>
      </c>
      <c r="J244" s="2">
        <f t="shared" si="7"/>
        <v>4.9367746405681624E-2</v>
      </c>
    </row>
    <row r="245" spans="1:10" x14ac:dyDescent="0.3">
      <c r="A245">
        <v>1244</v>
      </c>
      <c r="B245" s="1">
        <v>45296</v>
      </c>
      <c r="C245" t="s">
        <v>13</v>
      </c>
      <c r="D245" t="s">
        <v>11</v>
      </c>
      <c r="E245" t="s">
        <v>17</v>
      </c>
      <c r="F245">
        <v>5</v>
      </c>
      <c r="G245">
        <v>11673</v>
      </c>
      <c r="H245">
        <v>1512</v>
      </c>
      <c r="I245" t="str">
        <f t="shared" si="6"/>
        <v>Jan-2024</v>
      </c>
      <c r="J245" s="2">
        <f t="shared" si="7"/>
        <v>0.12952968388589051</v>
      </c>
    </row>
    <row r="246" spans="1:10" x14ac:dyDescent="0.3">
      <c r="A246">
        <v>1245</v>
      </c>
      <c r="B246" s="1">
        <v>45370</v>
      </c>
      <c r="C246" t="s">
        <v>13</v>
      </c>
      <c r="D246" t="s">
        <v>9</v>
      </c>
      <c r="E246" t="s">
        <v>14</v>
      </c>
      <c r="F246">
        <v>2</v>
      </c>
      <c r="G246">
        <v>14772</v>
      </c>
      <c r="H246">
        <v>296</v>
      </c>
      <c r="I246" t="str">
        <f t="shared" si="6"/>
        <v>Mar-2024</v>
      </c>
      <c r="J246" s="2">
        <f t="shared" si="7"/>
        <v>2.0037909558624424E-2</v>
      </c>
    </row>
    <row r="247" spans="1:10" x14ac:dyDescent="0.3">
      <c r="A247">
        <v>1246</v>
      </c>
      <c r="B247" s="1">
        <v>45520</v>
      </c>
      <c r="C247" t="s">
        <v>13</v>
      </c>
      <c r="D247" t="s">
        <v>9</v>
      </c>
      <c r="E247" t="s">
        <v>14</v>
      </c>
      <c r="F247">
        <v>5</v>
      </c>
      <c r="G247">
        <v>4139</v>
      </c>
      <c r="H247">
        <v>1208</v>
      </c>
      <c r="I247" t="str">
        <f t="shared" si="6"/>
        <v>Aug-2024</v>
      </c>
      <c r="J247" s="2">
        <f t="shared" si="7"/>
        <v>0.2918579366996859</v>
      </c>
    </row>
    <row r="248" spans="1:10" x14ac:dyDescent="0.3">
      <c r="A248">
        <v>1247</v>
      </c>
      <c r="B248" s="1">
        <v>45468</v>
      </c>
      <c r="C248" t="s">
        <v>13</v>
      </c>
      <c r="D248" t="s">
        <v>11</v>
      </c>
      <c r="E248" t="s">
        <v>17</v>
      </c>
      <c r="F248">
        <v>2</v>
      </c>
      <c r="G248">
        <v>16240</v>
      </c>
      <c r="H248">
        <v>2334</v>
      </c>
      <c r="I248" t="str">
        <f t="shared" si="6"/>
        <v>Jun-2024</v>
      </c>
      <c r="J248" s="2">
        <f t="shared" si="7"/>
        <v>0.14371921182266009</v>
      </c>
    </row>
    <row r="249" spans="1:10" x14ac:dyDescent="0.3">
      <c r="A249">
        <v>1248</v>
      </c>
      <c r="B249" s="1">
        <v>45564</v>
      </c>
      <c r="C249" t="s">
        <v>8</v>
      </c>
      <c r="D249" t="s">
        <v>11</v>
      </c>
      <c r="E249" t="s">
        <v>22</v>
      </c>
      <c r="F249">
        <v>3</v>
      </c>
      <c r="G249">
        <v>1482</v>
      </c>
      <c r="H249">
        <v>-320</v>
      </c>
      <c r="I249" t="str">
        <f t="shared" si="6"/>
        <v>Sep-2024</v>
      </c>
      <c r="J249" s="2">
        <f t="shared" si="7"/>
        <v>-0.21592442645074225</v>
      </c>
    </row>
    <row r="250" spans="1:10" x14ac:dyDescent="0.3">
      <c r="A250">
        <v>1249</v>
      </c>
      <c r="B250" s="1">
        <v>45415</v>
      </c>
      <c r="C250" t="s">
        <v>18</v>
      </c>
      <c r="D250" t="s">
        <v>11</v>
      </c>
      <c r="E250" t="s">
        <v>12</v>
      </c>
      <c r="F250">
        <v>1</v>
      </c>
      <c r="G250">
        <v>1345</v>
      </c>
      <c r="H250">
        <v>492</v>
      </c>
      <c r="I250" t="str">
        <f t="shared" si="6"/>
        <v>May-2024</v>
      </c>
      <c r="J250" s="2">
        <f t="shared" si="7"/>
        <v>0.36579925650557621</v>
      </c>
    </row>
    <row r="251" spans="1:10" x14ac:dyDescent="0.3">
      <c r="A251">
        <v>1250</v>
      </c>
      <c r="B251" s="1">
        <v>45391</v>
      </c>
      <c r="C251" t="s">
        <v>13</v>
      </c>
      <c r="D251" t="s">
        <v>15</v>
      </c>
      <c r="E251" t="s">
        <v>21</v>
      </c>
      <c r="F251">
        <v>4</v>
      </c>
      <c r="G251">
        <v>6962</v>
      </c>
      <c r="H251">
        <v>723</v>
      </c>
      <c r="I251" t="str">
        <f t="shared" si="6"/>
        <v>Apr-2024</v>
      </c>
      <c r="J251" s="2">
        <f t="shared" si="7"/>
        <v>0.10384946854352198</v>
      </c>
    </row>
    <row r="252" spans="1:10" x14ac:dyDescent="0.3">
      <c r="A252">
        <v>1251</v>
      </c>
      <c r="B252" s="1">
        <v>45437</v>
      </c>
      <c r="C252" t="s">
        <v>13</v>
      </c>
      <c r="D252" t="s">
        <v>15</v>
      </c>
      <c r="E252" t="s">
        <v>20</v>
      </c>
      <c r="F252">
        <v>3</v>
      </c>
      <c r="G252">
        <v>7743</v>
      </c>
      <c r="H252">
        <v>-221</v>
      </c>
      <c r="I252" t="str">
        <f t="shared" si="6"/>
        <v>May-2024</v>
      </c>
      <c r="J252" s="2">
        <f t="shared" si="7"/>
        <v>-2.8541908820870463E-2</v>
      </c>
    </row>
    <row r="253" spans="1:10" x14ac:dyDescent="0.3">
      <c r="A253">
        <v>1252</v>
      </c>
      <c r="B253" s="1">
        <v>45569</v>
      </c>
      <c r="C253" t="s">
        <v>18</v>
      </c>
      <c r="D253" t="s">
        <v>15</v>
      </c>
      <c r="E253" t="s">
        <v>21</v>
      </c>
      <c r="F253">
        <v>5</v>
      </c>
      <c r="G253">
        <v>14337</v>
      </c>
      <c r="H253">
        <v>1862</v>
      </c>
      <c r="I253" t="str">
        <f t="shared" si="6"/>
        <v>Oct-2024</v>
      </c>
      <c r="J253" s="2">
        <f t="shared" si="7"/>
        <v>0.12987375322591896</v>
      </c>
    </row>
    <row r="254" spans="1:10" x14ac:dyDescent="0.3">
      <c r="A254">
        <v>1253</v>
      </c>
      <c r="B254" s="1">
        <v>45387</v>
      </c>
      <c r="C254" t="s">
        <v>18</v>
      </c>
      <c r="D254" t="s">
        <v>15</v>
      </c>
      <c r="E254" t="s">
        <v>20</v>
      </c>
      <c r="F254">
        <v>4</v>
      </c>
      <c r="G254">
        <v>11977</v>
      </c>
      <c r="H254">
        <v>3347</v>
      </c>
      <c r="I254" t="str">
        <f t="shared" si="6"/>
        <v>Apr-2024</v>
      </c>
      <c r="J254" s="2">
        <f t="shared" si="7"/>
        <v>0.2794522835434583</v>
      </c>
    </row>
    <row r="255" spans="1:10" x14ac:dyDescent="0.3">
      <c r="A255">
        <v>1254</v>
      </c>
      <c r="B255" s="1">
        <v>45442</v>
      </c>
      <c r="C255" t="s">
        <v>18</v>
      </c>
      <c r="D255" t="s">
        <v>15</v>
      </c>
      <c r="E255" t="s">
        <v>16</v>
      </c>
      <c r="F255">
        <v>2</v>
      </c>
      <c r="G255">
        <v>2587</v>
      </c>
      <c r="H255">
        <v>556</v>
      </c>
      <c r="I255" t="str">
        <f t="shared" si="6"/>
        <v>May-2024</v>
      </c>
      <c r="J255" s="2">
        <f t="shared" si="7"/>
        <v>0.21492075763432547</v>
      </c>
    </row>
    <row r="256" spans="1:10" x14ac:dyDescent="0.3">
      <c r="A256">
        <v>1255</v>
      </c>
      <c r="B256" s="1">
        <v>45509</v>
      </c>
      <c r="C256" t="s">
        <v>8</v>
      </c>
      <c r="D256" t="s">
        <v>9</v>
      </c>
      <c r="E256" t="s">
        <v>19</v>
      </c>
      <c r="F256">
        <v>1</v>
      </c>
      <c r="G256">
        <v>17568</v>
      </c>
      <c r="H256">
        <v>4791</v>
      </c>
      <c r="I256" t="str">
        <f t="shared" si="6"/>
        <v>Aug-2024</v>
      </c>
      <c r="J256" s="2">
        <f t="shared" si="7"/>
        <v>0.27271174863387976</v>
      </c>
    </row>
    <row r="257" spans="1:10" x14ac:dyDescent="0.3">
      <c r="A257">
        <v>1256</v>
      </c>
      <c r="B257" s="1">
        <v>45460</v>
      </c>
      <c r="C257" t="s">
        <v>18</v>
      </c>
      <c r="D257" t="s">
        <v>15</v>
      </c>
      <c r="E257" t="s">
        <v>21</v>
      </c>
      <c r="F257">
        <v>3</v>
      </c>
      <c r="G257">
        <v>5693</v>
      </c>
      <c r="H257">
        <v>-362</v>
      </c>
      <c r="I257" t="str">
        <f t="shared" si="6"/>
        <v>Jun-2024</v>
      </c>
      <c r="J257" s="2">
        <f t="shared" si="7"/>
        <v>-6.3586861057438965E-2</v>
      </c>
    </row>
    <row r="258" spans="1:10" x14ac:dyDescent="0.3">
      <c r="A258">
        <v>1257</v>
      </c>
      <c r="B258" s="1">
        <v>45405</v>
      </c>
      <c r="C258" t="s">
        <v>18</v>
      </c>
      <c r="D258" t="s">
        <v>11</v>
      </c>
      <c r="E258" t="s">
        <v>17</v>
      </c>
      <c r="F258">
        <v>5</v>
      </c>
      <c r="G258">
        <v>13773</v>
      </c>
      <c r="H258">
        <v>1701</v>
      </c>
      <c r="I258" t="str">
        <f t="shared" si="6"/>
        <v>Apr-2024</v>
      </c>
      <c r="J258" s="2">
        <f t="shared" si="7"/>
        <v>0.12350250490089305</v>
      </c>
    </row>
    <row r="259" spans="1:10" x14ac:dyDescent="0.3">
      <c r="A259">
        <v>1258</v>
      </c>
      <c r="B259" s="1">
        <v>45316</v>
      </c>
      <c r="C259" t="s">
        <v>8</v>
      </c>
      <c r="D259" t="s">
        <v>9</v>
      </c>
      <c r="E259" t="s">
        <v>10</v>
      </c>
      <c r="F259">
        <v>3</v>
      </c>
      <c r="G259">
        <v>5607</v>
      </c>
      <c r="H259">
        <v>1935</v>
      </c>
      <c r="I259" t="str">
        <f t="shared" ref="I259:I322" si="8">TEXT(B259,"mmm-yyyy")</f>
        <v>Jan-2024</v>
      </c>
      <c r="J259" s="2">
        <f t="shared" ref="J259:J322" si="9">H259/G259</f>
        <v>0.3451043338683788</v>
      </c>
    </row>
    <row r="260" spans="1:10" x14ac:dyDescent="0.3">
      <c r="A260">
        <v>1259</v>
      </c>
      <c r="B260" s="1">
        <v>45340</v>
      </c>
      <c r="C260" t="s">
        <v>8</v>
      </c>
      <c r="D260" t="s">
        <v>9</v>
      </c>
      <c r="E260" t="s">
        <v>19</v>
      </c>
      <c r="F260">
        <v>4</v>
      </c>
      <c r="G260">
        <v>9936</v>
      </c>
      <c r="H260">
        <v>861</v>
      </c>
      <c r="I260" t="str">
        <f t="shared" si="8"/>
        <v>Feb-2024</v>
      </c>
      <c r="J260" s="2">
        <f t="shared" si="9"/>
        <v>8.6654589371980673E-2</v>
      </c>
    </row>
    <row r="261" spans="1:10" x14ac:dyDescent="0.3">
      <c r="A261">
        <v>1260</v>
      </c>
      <c r="B261" s="1">
        <v>45458</v>
      </c>
      <c r="C261" t="s">
        <v>13</v>
      </c>
      <c r="D261" t="s">
        <v>9</v>
      </c>
      <c r="E261" t="s">
        <v>14</v>
      </c>
      <c r="F261">
        <v>2</v>
      </c>
      <c r="G261">
        <v>19346</v>
      </c>
      <c r="H261">
        <v>595</v>
      </c>
      <c r="I261" t="str">
        <f t="shared" si="8"/>
        <v>Jun-2024</v>
      </c>
      <c r="J261" s="2">
        <f t="shared" si="9"/>
        <v>3.0755711775043937E-2</v>
      </c>
    </row>
    <row r="262" spans="1:10" x14ac:dyDescent="0.3">
      <c r="A262">
        <v>1261</v>
      </c>
      <c r="B262" s="1">
        <v>45327</v>
      </c>
      <c r="C262" t="s">
        <v>13</v>
      </c>
      <c r="D262" t="s">
        <v>11</v>
      </c>
      <c r="E262" t="s">
        <v>22</v>
      </c>
      <c r="F262">
        <v>5</v>
      </c>
      <c r="G262">
        <v>14455</v>
      </c>
      <c r="H262">
        <v>901</v>
      </c>
      <c r="I262" t="str">
        <f t="shared" si="8"/>
        <v>Feb-2024</v>
      </c>
      <c r="J262" s="2">
        <f t="shared" si="9"/>
        <v>6.2331373227257007E-2</v>
      </c>
    </row>
    <row r="263" spans="1:10" x14ac:dyDescent="0.3">
      <c r="A263">
        <v>1262</v>
      </c>
      <c r="B263" s="1">
        <v>45302</v>
      </c>
      <c r="C263" t="s">
        <v>13</v>
      </c>
      <c r="D263" t="s">
        <v>9</v>
      </c>
      <c r="E263" t="s">
        <v>19</v>
      </c>
      <c r="F263">
        <v>5</v>
      </c>
      <c r="G263">
        <v>19000</v>
      </c>
      <c r="H263">
        <v>4985</v>
      </c>
      <c r="I263" t="str">
        <f t="shared" si="8"/>
        <v>Jan-2024</v>
      </c>
      <c r="J263" s="2">
        <f t="shared" si="9"/>
        <v>0.26236842105263158</v>
      </c>
    </row>
    <row r="264" spans="1:10" x14ac:dyDescent="0.3">
      <c r="A264">
        <v>1263</v>
      </c>
      <c r="B264" s="1">
        <v>45436</v>
      </c>
      <c r="C264" t="s">
        <v>18</v>
      </c>
      <c r="D264" t="s">
        <v>15</v>
      </c>
      <c r="E264" t="s">
        <v>16</v>
      </c>
      <c r="F264">
        <v>1</v>
      </c>
      <c r="G264">
        <v>5671</v>
      </c>
      <c r="H264">
        <v>32</v>
      </c>
      <c r="I264" t="str">
        <f t="shared" si="8"/>
        <v>May-2024</v>
      </c>
      <c r="J264" s="2">
        <f t="shared" si="9"/>
        <v>5.6427437841650501E-3</v>
      </c>
    </row>
    <row r="265" spans="1:10" x14ac:dyDescent="0.3">
      <c r="A265">
        <v>1264</v>
      </c>
      <c r="B265" s="1">
        <v>45627</v>
      </c>
      <c r="C265" t="s">
        <v>18</v>
      </c>
      <c r="D265" t="s">
        <v>15</v>
      </c>
      <c r="E265" t="s">
        <v>20</v>
      </c>
      <c r="F265">
        <v>5</v>
      </c>
      <c r="G265">
        <v>15627</v>
      </c>
      <c r="H265">
        <v>2076</v>
      </c>
      <c r="I265" t="str">
        <f t="shared" si="8"/>
        <v>Dec-2024</v>
      </c>
      <c r="J265" s="2">
        <f t="shared" si="9"/>
        <v>0.13284699558456517</v>
      </c>
    </row>
    <row r="266" spans="1:10" x14ac:dyDescent="0.3">
      <c r="A266">
        <v>1265</v>
      </c>
      <c r="B266" s="1">
        <v>45582</v>
      </c>
      <c r="C266" t="s">
        <v>8</v>
      </c>
      <c r="D266" t="s">
        <v>11</v>
      </c>
      <c r="E266" t="s">
        <v>12</v>
      </c>
      <c r="F266">
        <v>3</v>
      </c>
      <c r="G266">
        <v>13701</v>
      </c>
      <c r="H266">
        <v>-297</v>
      </c>
      <c r="I266" t="str">
        <f t="shared" si="8"/>
        <v>Oct-2024</v>
      </c>
      <c r="J266" s="2">
        <f t="shared" si="9"/>
        <v>-2.1677249835778411E-2</v>
      </c>
    </row>
    <row r="267" spans="1:10" x14ac:dyDescent="0.3">
      <c r="A267">
        <v>1266</v>
      </c>
      <c r="B267" s="1">
        <v>45581</v>
      </c>
      <c r="C267" t="s">
        <v>8</v>
      </c>
      <c r="D267" t="s">
        <v>11</v>
      </c>
      <c r="E267" t="s">
        <v>22</v>
      </c>
      <c r="F267">
        <v>4</v>
      </c>
      <c r="G267">
        <v>12857</v>
      </c>
      <c r="H267">
        <v>636</v>
      </c>
      <c r="I267" t="str">
        <f t="shared" si="8"/>
        <v>Oct-2024</v>
      </c>
      <c r="J267" s="2">
        <f t="shared" si="9"/>
        <v>4.9467216302403361E-2</v>
      </c>
    </row>
    <row r="268" spans="1:10" x14ac:dyDescent="0.3">
      <c r="A268">
        <v>1267</v>
      </c>
      <c r="B268" s="1">
        <v>45572</v>
      </c>
      <c r="C268" t="s">
        <v>18</v>
      </c>
      <c r="D268" t="s">
        <v>15</v>
      </c>
      <c r="E268" t="s">
        <v>21</v>
      </c>
      <c r="F268">
        <v>5</v>
      </c>
      <c r="G268">
        <v>13087</v>
      </c>
      <c r="H268">
        <v>5157</v>
      </c>
      <c r="I268" t="str">
        <f t="shared" si="8"/>
        <v>Oct-2024</v>
      </c>
      <c r="J268" s="2">
        <f t="shared" si="9"/>
        <v>0.3940551692519294</v>
      </c>
    </row>
    <row r="269" spans="1:10" x14ac:dyDescent="0.3">
      <c r="A269">
        <v>1268</v>
      </c>
      <c r="B269" s="1">
        <v>45596</v>
      </c>
      <c r="C269" t="s">
        <v>8</v>
      </c>
      <c r="D269" t="s">
        <v>9</v>
      </c>
      <c r="E269" t="s">
        <v>10</v>
      </c>
      <c r="F269">
        <v>3</v>
      </c>
      <c r="G269">
        <v>11978</v>
      </c>
      <c r="H269">
        <v>4570</v>
      </c>
      <c r="I269" t="str">
        <f t="shared" si="8"/>
        <v>Oct-2024</v>
      </c>
      <c r="J269" s="2">
        <f t="shared" si="9"/>
        <v>0.38153281015194523</v>
      </c>
    </row>
    <row r="270" spans="1:10" x14ac:dyDescent="0.3">
      <c r="A270">
        <v>1269</v>
      </c>
      <c r="B270" s="1">
        <v>45534</v>
      </c>
      <c r="C270" t="s">
        <v>13</v>
      </c>
      <c r="D270" t="s">
        <v>11</v>
      </c>
      <c r="E270" t="s">
        <v>12</v>
      </c>
      <c r="F270">
        <v>5</v>
      </c>
      <c r="G270">
        <v>12934</v>
      </c>
      <c r="H270">
        <v>1083</v>
      </c>
      <c r="I270" t="str">
        <f t="shared" si="8"/>
        <v>Aug-2024</v>
      </c>
      <c r="J270" s="2">
        <f t="shared" si="9"/>
        <v>8.3732797278490798E-2</v>
      </c>
    </row>
    <row r="271" spans="1:10" x14ac:dyDescent="0.3">
      <c r="A271">
        <v>1270</v>
      </c>
      <c r="B271" s="1">
        <v>45594</v>
      </c>
      <c r="C271" t="s">
        <v>13</v>
      </c>
      <c r="D271" t="s">
        <v>15</v>
      </c>
      <c r="E271" t="s">
        <v>21</v>
      </c>
      <c r="F271">
        <v>3</v>
      </c>
      <c r="G271">
        <v>18333</v>
      </c>
      <c r="H271">
        <v>669</v>
      </c>
      <c r="I271" t="str">
        <f t="shared" si="8"/>
        <v>Oct-2024</v>
      </c>
      <c r="J271" s="2">
        <f t="shared" si="9"/>
        <v>3.6491572574046803E-2</v>
      </c>
    </row>
    <row r="272" spans="1:10" x14ac:dyDescent="0.3">
      <c r="A272">
        <v>1271</v>
      </c>
      <c r="B272" s="1">
        <v>45500</v>
      </c>
      <c r="C272" t="s">
        <v>8</v>
      </c>
      <c r="D272" t="s">
        <v>15</v>
      </c>
      <c r="E272" t="s">
        <v>16</v>
      </c>
      <c r="F272">
        <v>3</v>
      </c>
      <c r="G272">
        <v>16638</v>
      </c>
      <c r="H272">
        <v>5615</v>
      </c>
      <c r="I272" t="str">
        <f t="shared" si="8"/>
        <v>Jul-2024</v>
      </c>
      <c r="J272" s="2">
        <f t="shared" si="9"/>
        <v>0.3374804664022118</v>
      </c>
    </row>
    <row r="273" spans="1:10" x14ac:dyDescent="0.3">
      <c r="A273">
        <v>1272</v>
      </c>
      <c r="B273" s="1">
        <v>45320</v>
      </c>
      <c r="C273" t="s">
        <v>18</v>
      </c>
      <c r="D273" t="s">
        <v>11</v>
      </c>
      <c r="E273" t="s">
        <v>12</v>
      </c>
      <c r="F273">
        <v>1</v>
      </c>
      <c r="G273">
        <v>10020</v>
      </c>
      <c r="H273">
        <v>3699</v>
      </c>
      <c r="I273" t="str">
        <f t="shared" si="8"/>
        <v>Jan-2024</v>
      </c>
      <c r="J273" s="2">
        <f t="shared" si="9"/>
        <v>0.36916167664670657</v>
      </c>
    </row>
    <row r="274" spans="1:10" x14ac:dyDescent="0.3">
      <c r="A274">
        <v>1273</v>
      </c>
      <c r="B274" s="1">
        <v>45331</v>
      </c>
      <c r="C274" t="s">
        <v>8</v>
      </c>
      <c r="D274" t="s">
        <v>11</v>
      </c>
      <c r="E274" t="s">
        <v>12</v>
      </c>
      <c r="F274">
        <v>4</v>
      </c>
      <c r="G274">
        <v>11107</v>
      </c>
      <c r="H274">
        <v>2731</v>
      </c>
      <c r="I274" t="str">
        <f t="shared" si="8"/>
        <v>Feb-2024</v>
      </c>
      <c r="J274" s="2">
        <f t="shared" si="9"/>
        <v>0.24588097596110561</v>
      </c>
    </row>
    <row r="275" spans="1:10" x14ac:dyDescent="0.3">
      <c r="A275">
        <v>1274</v>
      </c>
      <c r="B275" s="1">
        <v>45657</v>
      </c>
      <c r="C275" t="s">
        <v>8</v>
      </c>
      <c r="D275" t="s">
        <v>9</v>
      </c>
      <c r="E275" t="s">
        <v>10</v>
      </c>
      <c r="F275">
        <v>1</v>
      </c>
      <c r="G275">
        <v>19011</v>
      </c>
      <c r="H275">
        <v>367</v>
      </c>
      <c r="I275" t="str">
        <f t="shared" si="8"/>
        <v>Dec-2024</v>
      </c>
      <c r="J275" s="2">
        <f t="shared" si="9"/>
        <v>1.930461311872074E-2</v>
      </c>
    </row>
    <row r="276" spans="1:10" x14ac:dyDescent="0.3">
      <c r="A276">
        <v>1275</v>
      </c>
      <c r="B276" s="1">
        <v>45423</v>
      </c>
      <c r="C276" t="s">
        <v>18</v>
      </c>
      <c r="D276" t="s">
        <v>15</v>
      </c>
      <c r="E276" t="s">
        <v>16</v>
      </c>
      <c r="F276">
        <v>4</v>
      </c>
      <c r="G276">
        <v>8312</v>
      </c>
      <c r="H276">
        <v>-356</v>
      </c>
      <c r="I276" t="str">
        <f t="shared" si="8"/>
        <v>May-2024</v>
      </c>
      <c r="J276" s="2">
        <f t="shared" si="9"/>
        <v>-4.2829643888354189E-2</v>
      </c>
    </row>
    <row r="277" spans="1:10" x14ac:dyDescent="0.3">
      <c r="A277">
        <v>1276</v>
      </c>
      <c r="B277" s="1">
        <v>45360</v>
      </c>
      <c r="C277" t="s">
        <v>8</v>
      </c>
      <c r="D277" t="s">
        <v>15</v>
      </c>
      <c r="E277" t="s">
        <v>16</v>
      </c>
      <c r="F277">
        <v>4</v>
      </c>
      <c r="G277">
        <v>14240</v>
      </c>
      <c r="H277">
        <v>4317</v>
      </c>
      <c r="I277" t="str">
        <f t="shared" si="8"/>
        <v>Mar-2024</v>
      </c>
      <c r="J277" s="2">
        <f t="shared" si="9"/>
        <v>0.30316011235955054</v>
      </c>
    </row>
    <row r="278" spans="1:10" x14ac:dyDescent="0.3">
      <c r="A278">
        <v>1277</v>
      </c>
      <c r="B278" s="1">
        <v>45437</v>
      </c>
      <c r="C278" t="s">
        <v>18</v>
      </c>
      <c r="D278" t="s">
        <v>15</v>
      </c>
      <c r="E278" t="s">
        <v>20</v>
      </c>
      <c r="F278">
        <v>2</v>
      </c>
      <c r="G278">
        <v>6525</v>
      </c>
      <c r="H278">
        <v>2390</v>
      </c>
      <c r="I278" t="str">
        <f t="shared" si="8"/>
        <v>May-2024</v>
      </c>
      <c r="J278" s="2">
        <f t="shared" si="9"/>
        <v>0.36628352490421456</v>
      </c>
    </row>
    <row r="279" spans="1:10" x14ac:dyDescent="0.3">
      <c r="A279">
        <v>1278</v>
      </c>
      <c r="B279" s="1">
        <v>45505</v>
      </c>
      <c r="C279" t="s">
        <v>13</v>
      </c>
      <c r="D279" t="s">
        <v>15</v>
      </c>
      <c r="E279" t="s">
        <v>20</v>
      </c>
      <c r="F279">
        <v>5</v>
      </c>
      <c r="G279">
        <v>13004</v>
      </c>
      <c r="H279">
        <v>1015</v>
      </c>
      <c r="I279" t="str">
        <f t="shared" si="8"/>
        <v>Aug-2024</v>
      </c>
      <c r="J279" s="2">
        <f t="shared" si="9"/>
        <v>7.8052906797908342E-2</v>
      </c>
    </row>
    <row r="280" spans="1:10" x14ac:dyDescent="0.3">
      <c r="A280">
        <v>1279</v>
      </c>
      <c r="B280" s="1">
        <v>45657</v>
      </c>
      <c r="C280" t="s">
        <v>13</v>
      </c>
      <c r="D280" t="s">
        <v>9</v>
      </c>
      <c r="E280" t="s">
        <v>19</v>
      </c>
      <c r="F280">
        <v>1</v>
      </c>
      <c r="G280">
        <v>13863</v>
      </c>
      <c r="H280">
        <v>1344</v>
      </c>
      <c r="I280" t="str">
        <f t="shared" si="8"/>
        <v>Dec-2024</v>
      </c>
      <c r="J280" s="2">
        <f t="shared" si="9"/>
        <v>9.6948712399913442E-2</v>
      </c>
    </row>
    <row r="281" spans="1:10" x14ac:dyDescent="0.3">
      <c r="A281">
        <v>1280</v>
      </c>
      <c r="B281" s="1">
        <v>45398</v>
      </c>
      <c r="C281" t="s">
        <v>8</v>
      </c>
      <c r="D281" t="s">
        <v>11</v>
      </c>
      <c r="E281" t="s">
        <v>12</v>
      </c>
      <c r="F281">
        <v>2</v>
      </c>
      <c r="G281">
        <v>18206</v>
      </c>
      <c r="H281">
        <v>3338</v>
      </c>
      <c r="I281" t="str">
        <f t="shared" si="8"/>
        <v>Apr-2024</v>
      </c>
      <c r="J281" s="2">
        <f t="shared" si="9"/>
        <v>0.18334614962100407</v>
      </c>
    </row>
    <row r="282" spans="1:10" x14ac:dyDescent="0.3">
      <c r="A282">
        <v>1281</v>
      </c>
      <c r="B282" s="1">
        <v>45354</v>
      </c>
      <c r="C282" t="s">
        <v>18</v>
      </c>
      <c r="D282" t="s">
        <v>15</v>
      </c>
      <c r="E282" t="s">
        <v>21</v>
      </c>
      <c r="F282">
        <v>2</v>
      </c>
      <c r="G282">
        <v>19148</v>
      </c>
      <c r="H282">
        <v>6217</v>
      </c>
      <c r="I282" t="str">
        <f t="shared" si="8"/>
        <v>Mar-2024</v>
      </c>
      <c r="J282" s="2">
        <f t="shared" si="9"/>
        <v>0.32468142886985585</v>
      </c>
    </row>
    <row r="283" spans="1:10" x14ac:dyDescent="0.3">
      <c r="A283">
        <v>1282</v>
      </c>
      <c r="B283" s="1">
        <v>45496</v>
      </c>
      <c r="C283" t="s">
        <v>13</v>
      </c>
      <c r="D283" t="s">
        <v>15</v>
      </c>
      <c r="E283" t="s">
        <v>21</v>
      </c>
      <c r="F283">
        <v>5</v>
      </c>
      <c r="G283">
        <v>12174</v>
      </c>
      <c r="H283">
        <v>-84</v>
      </c>
      <c r="I283" t="str">
        <f t="shared" si="8"/>
        <v>Jul-2024</v>
      </c>
      <c r="J283" s="2">
        <f t="shared" si="9"/>
        <v>-6.8999507146377528E-3</v>
      </c>
    </row>
    <row r="284" spans="1:10" x14ac:dyDescent="0.3">
      <c r="A284">
        <v>1283</v>
      </c>
      <c r="B284" s="1">
        <v>45561</v>
      </c>
      <c r="C284" t="s">
        <v>18</v>
      </c>
      <c r="D284" t="s">
        <v>9</v>
      </c>
      <c r="E284" t="s">
        <v>19</v>
      </c>
      <c r="F284">
        <v>4</v>
      </c>
      <c r="G284">
        <v>14117</v>
      </c>
      <c r="H284">
        <v>5027</v>
      </c>
      <c r="I284" t="str">
        <f t="shared" si="8"/>
        <v>Sep-2024</v>
      </c>
      <c r="J284" s="2">
        <f t="shared" si="9"/>
        <v>0.35609548770985339</v>
      </c>
    </row>
    <row r="285" spans="1:10" x14ac:dyDescent="0.3">
      <c r="A285">
        <v>1284</v>
      </c>
      <c r="B285" s="1">
        <v>45570</v>
      </c>
      <c r="C285" t="s">
        <v>13</v>
      </c>
      <c r="D285" t="s">
        <v>11</v>
      </c>
      <c r="E285" t="s">
        <v>22</v>
      </c>
      <c r="F285">
        <v>4</v>
      </c>
      <c r="G285">
        <v>16195</v>
      </c>
      <c r="H285">
        <v>2089</v>
      </c>
      <c r="I285" t="str">
        <f t="shared" si="8"/>
        <v>Oct-2024</v>
      </c>
      <c r="J285" s="2">
        <f t="shared" si="9"/>
        <v>0.12899042914479777</v>
      </c>
    </row>
    <row r="286" spans="1:10" x14ac:dyDescent="0.3">
      <c r="A286">
        <v>1285</v>
      </c>
      <c r="B286" s="1">
        <v>45306</v>
      </c>
      <c r="C286" t="s">
        <v>8</v>
      </c>
      <c r="D286" t="s">
        <v>11</v>
      </c>
      <c r="E286" t="s">
        <v>22</v>
      </c>
      <c r="F286">
        <v>2</v>
      </c>
      <c r="G286">
        <v>4255</v>
      </c>
      <c r="H286">
        <v>49</v>
      </c>
      <c r="I286" t="str">
        <f t="shared" si="8"/>
        <v>Jan-2024</v>
      </c>
      <c r="J286" s="2">
        <f t="shared" si="9"/>
        <v>1.1515863689776733E-2</v>
      </c>
    </row>
    <row r="287" spans="1:10" x14ac:dyDescent="0.3">
      <c r="A287">
        <v>1286</v>
      </c>
      <c r="B287" s="1">
        <v>45477</v>
      </c>
      <c r="C287" t="s">
        <v>18</v>
      </c>
      <c r="D287" t="s">
        <v>11</v>
      </c>
      <c r="E287" t="s">
        <v>22</v>
      </c>
      <c r="F287">
        <v>5</v>
      </c>
      <c r="G287">
        <v>13289</v>
      </c>
      <c r="H287">
        <v>977</v>
      </c>
      <c r="I287" t="str">
        <f t="shared" si="8"/>
        <v>Jul-2024</v>
      </c>
      <c r="J287" s="2">
        <f t="shared" si="9"/>
        <v>7.3519452178493497E-2</v>
      </c>
    </row>
    <row r="288" spans="1:10" x14ac:dyDescent="0.3">
      <c r="A288">
        <v>1287</v>
      </c>
      <c r="B288" s="1">
        <v>45437</v>
      </c>
      <c r="C288" t="s">
        <v>18</v>
      </c>
      <c r="D288" t="s">
        <v>11</v>
      </c>
      <c r="E288" t="s">
        <v>12</v>
      </c>
      <c r="F288">
        <v>4</v>
      </c>
      <c r="G288">
        <v>14581</v>
      </c>
      <c r="H288">
        <v>719</v>
      </c>
      <c r="I288" t="str">
        <f t="shared" si="8"/>
        <v>May-2024</v>
      </c>
      <c r="J288" s="2">
        <f t="shared" si="9"/>
        <v>4.931074686235512E-2</v>
      </c>
    </row>
    <row r="289" spans="1:10" x14ac:dyDescent="0.3">
      <c r="A289">
        <v>1288</v>
      </c>
      <c r="B289" s="1">
        <v>45531</v>
      </c>
      <c r="C289" t="s">
        <v>18</v>
      </c>
      <c r="D289" t="s">
        <v>11</v>
      </c>
      <c r="E289" t="s">
        <v>17</v>
      </c>
      <c r="F289">
        <v>1</v>
      </c>
      <c r="G289">
        <v>14741</v>
      </c>
      <c r="H289">
        <v>5306</v>
      </c>
      <c r="I289" t="str">
        <f t="shared" si="8"/>
        <v>Aug-2024</v>
      </c>
      <c r="J289" s="2">
        <f t="shared" si="9"/>
        <v>0.35994844311783464</v>
      </c>
    </row>
    <row r="290" spans="1:10" x14ac:dyDescent="0.3">
      <c r="A290">
        <v>1289</v>
      </c>
      <c r="B290" s="1">
        <v>45529</v>
      </c>
      <c r="C290" t="s">
        <v>8</v>
      </c>
      <c r="D290" t="s">
        <v>15</v>
      </c>
      <c r="E290" t="s">
        <v>16</v>
      </c>
      <c r="F290">
        <v>1</v>
      </c>
      <c r="G290">
        <v>10166</v>
      </c>
      <c r="H290">
        <v>2850</v>
      </c>
      <c r="I290" t="str">
        <f t="shared" si="8"/>
        <v>Aug-2024</v>
      </c>
      <c r="J290" s="2">
        <f t="shared" si="9"/>
        <v>0.28034625221325987</v>
      </c>
    </row>
    <row r="291" spans="1:10" x14ac:dyDescent="0.3">
      <c r="A291">
        <v>1290</v>
      </c>
      <c r="B291" s="1">
        <v>45350</v>
      </c>
      <c r="C291" t="s">
        <v>18</v>
      </c>
      <c r="D291" t="s">
        <v>15</v>
      </c>
      <c r="E291" t="s">
        <v>20</v>
      </c>
      <c r="F291">
        <v>2</v>
      </c>
      <c r="G291">
        <v>12714</v>
      </c>
      <c r="H291">
        <v>4025</v>
      </c>
      <c r="I291" t="str">
        <f t="shared" si="8"/>
        <v>Feb-2024</v>
      </c>
      <c r="J291" s="2">
        <f t="shared" si="9"/>
        <v>0.31658014786849142</v>
      </c>
    </row>
    <row r="292" spans="1:10" x14ac:dyDescent="0.3">
      <c r="A292">
        <v>1291</v>
      </c>
      <c r="B292" s="1">
        <v>45432</v>
      </c>
      <c r="C292" t="s">
        <v>13</v>
      </c>
      <c r="D292" t="s">
        <v>9</v>
      </c>
      <c r="E292" t="s">
        <v>10</v>
      </c>
      <c r="F292">
        <v>4</v>
      </c>
      <c r="G292">
        <v>5011</v>
      </c>
      <c r="H292">
        <v>1367</v>
      </c>
      <c r="I292" t="str">
        <f t="shared" si="8"/>
        <v>May-2024</v>
      </c>
      <c r="J292" s="2">
        <f t="shared" si="9"/>
        <v>0.27279984035122729</v>
      </c>
    </row>
    <row r="293" spans="1:10" x14ac:dyDescent="0.3">
      <c r="A293">
        <v>1292</v>
      </c>
      <c r="B293" s="1">
        <v>45376</v>
      </c>
      <c r="C293" t="s">
        <v>18</v>
      </c>
      <c r="D293" t="s">
        <v>9</v>
      </c>
      <c r="E293" t="s">
        <v>19</v>
      </c>
      <c r="F293">
        <v>4</v>
      </c>
      <c r="G293">
        <v>11201</v>
      </c>
      <c r="H293">
        <v>985</v>
      </c>
      <c r="I293" t="str">
        <f t="shared" si="8"/>
        <v>Mar-2024</v>
      </c>
      <c r="J293" s="2">
        <f t="shared" si="9"/>
        <v>8.7938576912775651E-2</v>
      </c>
    </row>
    <row r="294" spans="1:10" x14ac:dyDescent="0.3">
      <c r="A294">
        <v>1293</v>
      </c>
      <c r="B294" s="1">
        <v>45375</v>
      </c>
      <c r="C294" t="s">
        <v>13</v>
      </c>
      <c r="D294" t="s">
        <v>15</v>
      </c>
      <c r="E294" t="s">
        <v>20</v>
      </c>
      <c r="F294">
        <v>2</v>
      </c>
      <c r="G294">
        <v>16813</v>
      </c>
      <c r="H294">
        <v>49</v>
      </c>
      <c r="I294" t="str">
        <f t="shared" si="8"/>
        <v>Mar-2024</v>
      </c>
      <c r="J294" s="2">
        <f t="shared" si="9"/>
        <v>2.9144114673169573E-3</v>
      </c>
    </row>
    <row r="295" spans="1:10" x14ac:dyDescent="0.3">
      <c r="A295">
        <v>1294</v>
      </c>
      <c r="B295" s="1">
        <v>45539</v>
      </c>
      <c r="C295" t="s">
        <v>13</v>
      </c>
      <c r="D295" t="s">
        <v>15</v>
      </c>
      <c r="E295" t="s">
        <v>21</v>
      </c>
      <c r="F295">
        <v>3</v>
      </c>
      <c r="G295">
        <v>12520</v>
      </c>
      <c r="H295">
        <v>942</v>
      </c>
      <c r="I295" t="str">
        <f t="shared" si="8"/>
        <v>Sep-2024</v>
      </c>
      <c r="J295" s="2">
        <f t="shared" si="9"/>
        <v>7.5239616613418533E-2</v>
      </c>
    </row>
    <row r="296" spans="1:10" x14ac:dyDescent="0.3">
      <c r="A296">
        <v>1295</v>
      </c>
      <c r="B296" s="1">
        <v>45402</v>
      </c>
      <c r="C296" t="s">
        <v>13</v>
      </c>
      <c r="D296" t="s">
        <v>11</v>
      </c>
      <c r="E296" t="s">
        <v>12</v>
      </c>
      <c r="F296">
        <v>5</v>
      </c>
      <c r="G296">
        <v>4277</v>
      </c>
      <c r="H296">
        <v>1256</v>
      </c>
      <c r="I296" t="str">
        <f t="shared" si="8"/>
        <v>Apr-2024</v>
      </c>
      <c r="J296" s="2">
        <f t="shared" si="9"/>
        <v>0.29366378302548513</v>
      </c>
    </row>
    <row r="297" spans="1:10" x14ac:dyDescent="0.3">
      <c r="A297">
        <v>1296</v>
      </c>
      <c r="B297" s="1">
        <v>45617</v>
      </c>
      <c r="C297" t="s">
        <v>8</v>
      </c>
      <c r="D297" t="s">
        <v>11</v>
      </c>
      <c r="E297" t="s">
        <v>12</v>
      </c>
      <c r="F297">
        <v>3</v>
      </c>
      <c r="G297">
        <v>18293</v>
      </c>
      <c r="H297">
        <v>6193</v>
      </c>
      <c r="I297" t="str">
        <f t="shared" si="8"/>
        <v>Nov-2024</v>
      </c>
      <c r="J297" s="2">
        <f t="shared" si="9"/>
        <v>0.33854479855682501</v>
      </c>
    </row>
    <row r="298" spans="1:10" x14ac:dyDescent="0.3">
      <c r="A298">
        <v>1297</v>
      </c>
      <c r="B298" s="1">
        <v>45482</v>
      </c>
      <c r="C298" t="s">
        <v>18</v>
      </c>
      <c r="D298" t="s">
        <v>9</v>
      </c>
      <c r="E298" t="s">
        <v>10</v>
      </c>
      <c r="F298">
        <v>5</v>
      </c>
      <c r="G298">
        <v>19467</v>
      </c>
      <c r="H298">
        <v>6383</v>
      </c>
      <c r="I298" t="str">
        <f t="shared" si="8"/>
        <v>Jul-2024</v>
      </c>
      <c r="J298" s="2">
        <f t="shared" si="9"/>
        <v>0.32788822109210458</v>
      </c>
    </row>
    <row r="299" spans="1:10" x14ac:dyDescent="0.3">
      <c r="A299">
        <v>1298</v>
      </c>
      <c r="B299" s="1">
        <v>45483</v>
      </c>
      <c r="C299" t="s">
        <v>8</v>
      </c>
      <c r="D299" t="s">
        <v>9</v>
      </c>
      <c r="E299" t="s">
        <v>10</v>
      </c>
      <c r="F299">
        <v>1</v>
      </c>
      <c r="G299">
        <v>10036</v>
      </c>
      <c r="H299">
        <v>3432</v>
      </c>
      <c r="I299" t="str">
        <f t="shared" si="8"/>
        <v>Jul-2024</v>
      </c>
      <c r="J299" s="2">
        <f t="shared" si="9"/>
        <v>0.34196891191709844</v>
      </c>
    </row>
    <row r="300" spans="1:10" x14ac:dyDescent="0.3">
      <c r="A300">
        <v>1299</v>
      </c>
      <c r="B300" s="1">
        <v>45361</v>
      </c>
      <c r="C300" t="s">
        <v>18</v>
      </c>
      <c r="D300" t="s">
        <v>15</v>
      </c>
      <c r="E300" t="s">
        <v>20</v>
      </c>
      <c r="F300">
        <v>4</v>
      </c>
      <c r="G300">
        <v>2172</v>
      </c>
      <c r="H300">
        <v>-119</v>
      </c>
      <c r="I300" t="str">
        <f t="shared" si="8"/>
        <v>Mar-2024</v>
      </c>
      <c r="J300" s="2">
        <f t="shared" si="9"/>
        <v>-5.4788213627992632E-2</v>
      </c>
    </row>
    <row r="301" spans="1:10" x14ac:dyDescent="0.3">
      <c r="A301">
        <v>1300</v>
      </c>
      <c r="B301" s="1">
        <v>45325</v>
      </c>
      <c r="C301" t="s">
        <v>8</v>
      </c>
      <c r="D301" t="s">
        <v>15</v>
      </c>
      <c r="E301" t="s">
        <v>21</v>
      </c>
      <c r="F301">
        <v>5</v>
      </c>
      <c r="G301">
        <v>13848</v>
      </c>
      <c r="H301">
        <v>4829</v>
      </c>
      <c r="I301" t="str">
        <f t="shared" si="8"/>
        <v>Feb-2024</v>
      </c>
      <c r="J301" s="2">
        <f t="shared" si="9"/>
        <v>0.3487146158290006</v>
      </c>
    </row>
    <row r="302" spans="1:10" x14ac:dyDescent="0.3">
      <c r="A302">
        <v>1301</v>
      </c>
      <c r="B302" s="1">
        <v>45510</v>
      </c>
      <c r="C302" t="s">
        <v>8</v>
      </c>
      <c r="D302" t="s">
        <v>11</v>
      </c>
      <c r="E302" t="s">
        <v>12</v>
      </c>
      <c r="F302">
        <v>5</v>
      </c>
      <c r="G302">
        <v>12690</v>
      </c>
      <c r="H302">
        <v>1138</v>
      </c>
      <c r="I302" t="str">
        <f t="shared" si="8"/>
        <v>Aug-2024</v>
      </c>
      <c r="J302" s="2">
        <f t="shared" si="9"/>
        <v>8.9676910953506703E-2</v>
      </c>
    </row>
    <row r="303" spans="1:10" x14ac:dyDescent="0.3">
      <c r="A303">
        <v>1302</v>
      </c>
      <c r="B303" s="1">
        <v>45428</v>
      </c>
      <c r="C303" t="s">
        <v>18</v>
      </c>
      <c r="D303" t="s">
        <v>11</v>
      </c>
      <c r="E303" t="s">
        <v>17</v>
      </c>
      <c r="F303">
        <v>1</v>
      </c>
      <c r="G303">
        <v>12900</v>
      </c>
      <c r="H303">
        <v>4955</v>
      </c>
      <c r="I303" t="str">
        <f t="shared" si="8"/>
        <v>May-2024</v>
      </c>
      <c r="J303" s="2">
        <f t="shared" si="9"/>
        <v>0.38410852713178295</v>
      </c>
    </row>
    <row r="304" spans="1:10" x14ac:dyDescent="0.3">
      <c r="A304">
        <v>1303</v>
      </c>
      <c r="B304" s="1">
        <v>45336</v>
      </c>
      <c r="C304" t="s">
        <v>8</v>
      </c>
      <c r="D304" t="s">
        <v>15</v>
      </c>
      <c r="E304" t="s">
        <v>16</v>
      </c>
      <c r="F304">
        <v>5</v>
      </c>
      <c r="G304">
        <v>8203</v>
      </c>
      <c r="H304">
        <v>2907</v>
      </c>
      <c r="I304" t="str">
        <f t="shared" si="8"/>
        <v>Feb-2024</v>
      </c>
      <c r="J304" s="2">
        <f t="shared" si="9"/>
        <v>0.35438254297208338</v>
      </c>
    </row>
    <row r="305" spans="1:10" x14ac:dyDescent="0.3">
      <c r="A305">
        <v>1304</v>
      </c>
      <c r="B305" s="1">
        <v>45349</v>
      </c>
      <c r="C305" t="s">
        <v>18</v>
      </c>
      <c r="D305" t="s">
        <v>11</v>
      </c>
      <c r="E305" t="s">
        <v>22</v>
      </c>
      <c r="F305">
        <v>5</v>
      </c>
      <c r="G305">
        <v>18528</v>
      </c>
      <c r="H305">
        <v>3539</v>
      </c>
      <c r="I305" t="str">
        <f t="shared" si="8"/>
        <v>Feb-2024</v>
      </c>
      <c r="J305" s="2">
        <f t="shared" si="9"/>
        <v>0.19100820379965458</v>
      </c>
    </row>
    <row r="306" spans="1:10" x14ac:dyDescent="0.3">
      <c r="A306">
        <v>1305</v>
      </c>
      <c r="B306" s="1">
        <v>45409</v>
      </c>
      <c r="C306" t="s">
        <v>13</v>
      </c>
      <c r="D306" t="s">
        <v>11</v>
      </c>
      <c r="E306" t="s">
        <v>12</v>
      </c>
      <c r="F306">
        <v>2</v>
      </c>
      <c r="G306">
        <v>11128</v>
      </c>
      <c r="H306">
        <v>1356</v>
      </c>
      <c r="I306" t="str">
        <f t="shared" si="8"/>
        <v>Apr-2024</v>
      </c>
      <c r="J306" s="2">
        <f t="shared" si="9"/>
        <v>0.1218547807332854</v>
      </c>
    </row>
    <row r="307" spans="1:10" x14ac:dyDescent="0.3">
      <c r="A307">
        <v>1306</v>
      </c>
      <c r="B307" s="1">
        <v>45359</v>
      </c>
      <c r="C307" t="s">
        <v>8</v>
      </c>
      <c r="D307" t="s">
        <v>11</v>
      </c>
      <c r="E307" t="s">
        <v>22</v>
      </c>
      <c r="F307">
        <v>4</v>
      </c>
      <c r="G307">
        <v>19750</v>
      </c>
      <c r="H307">
        <v>5041</v>
      </c>
      <c r="I307" t="str">
        <f t="shared" si="8"/>
        <v>Mar-2024</v>
      </c>
      <c r="J307" s="2">
        <f t="shared" si="9"/>
        <v>0.25524050632911394</v>
      </c>
    </row>
    <row r="308" spans="1:10" x14ac:dyDescent="0.3">
      <c r="A308">
        <v>1307</v>
      </c>
      <c r="B308" s="1">
        <v>45405</v>
      </c>
      <c r="C308" t="s">
        <v>8</v>
      </c>
      <c r="D308" t="s">
        <v>15</v>
      </c>
      <c r="E308" t="s">
        <v>16</v>
      </c>
      <c r="F308">
        <v>1</v>
      </c>
      <c r="G308">
        <v>12199</v>
      </c>
      <c r="H308">
        <v>617</v>
      </c>
      <c r="I308" t="str">
        <f t="shared" si="8"/>
        <v>Apr-2024</v>
      </c>
      <c r="J308" s="2">
        <f t="shared" si="9"/>
        <v>5.0577916222641198E-2</v>
      </c>
    </row>
    <row r="309" spans="1:10" x14ac:dyDescent="0.3">
      <c r="A309">
        <v>1308</v>
      </c>
      <c r="B309" s="1">
        <v>45551</v>
      </c>
      <c r="C309" t="s">
        <v>13</v>
      </c>
      <c r="D309" t="s">
        <v>9</v>
      </c>
      <c r="E309" t="s">
        <v>10</v>
      </c>
      <c r="F309">
        <v>5</v>
      </c>
      <c r="G309">
        <v>12450</v>
      </c>
      <c r="H309">
        <v>-414</v>
      </c>
      <c r="I309" t="str">
        <f t="shared" si="8"/>
        <v>Sep-2024</v>
      </c>
      <c r="J309" s="2">
        <f t="shared" si="9"/>
        <v>-3.3253012048192768E-2</v>
      </c>
    </row>
    <row r="310" spans="1:10" x14ac:dyDescent="0.3">
      <c r="A310">
        <v>1309</v>
      </c>
      <c r="B310" s="1">
        <v>45577</v>
      </c>
      <c r="C310" t="s">
        <v>8</v>
      </c>
      <c r="D310" t="s">
        <v>15</v>
      </c>
      <c r="E310" t="s">
        <v>20</v>
      </c>
      <c r="F310">
        <v>2</v>
      </c>
      <c r="G310">
        <v>4231</v>
      </c>
      <c r="H310">
        <v>626</v>
      </c>
      <c r="I310" t="str">
        <f t="shared" si="8"/>
        <v>Oct-2024</v>
      </c>
      <c r="J310" s="2">
        <f t="shared" si="9"/>
        <v>0.1479555660600331</v>
      </c>
    </row>
    <row r="311" spans="1:10" x14ac:dyDescent="0.3">
      <c r="A311">
        <v>1310</v>
      </c>
      <c r="B311" s="1">
        <v>45388</v>
      </c>
      <c r="C311" t="s">
        <v>18</v>
      </c>
      <c r="D311" t="s">
        <v>9</v>
      </c>
      <c r="E311" t="s">
        <v>14</v>
      </c>
      <c r="F311">
        <v>1</v>
      </c>
      <c r="G311">
        <v>2616</v>
      </c>
      <c r="H311">
        <v>-285</v>
      </c>
      <c r="I311" t="str">
        <f t="shared" si="8"/>
        <v>Apr-2024</v>
      </c>
      <c r="J311" s="2">
        <f t="shared" si="9"/>
        <v>-0.10894495412844037</v>
      </c>
    </row>
    <row r="312" spans="1:10" x14ac:dyDescent="0.3">
      <c r="A312">
        <v>1311</v>
      </c>
      <c r="B312" s="1">
        <v>45369</v>
      </c>
      <c r="C312" t="s">
        <v>18</v>
      </c>
      <c r="D312" t="s">
        <v>9</v>
      </c>
      <c r="E312" t="s">
        <v>14</v>
      </c>
      <c r="F312">
        <v>5</v>
      </c>
      <c r="G312">
        <v>11774</v>
      </c>
      <c r="H312">
        <v>3711</v>
      </c>
      <c r="I312" t="str">
        <f t="shared" si="8"/>
        <v>Mar-2024</v>
      </c>
      <c r="J312" s="2">
        <f t="shared" si="9"/>
        <v>0.31518600305758449</v>
      </c>
    </row>
    <row r="313" spans="1:10" x14ac:dyDescent="0.3">
      <c r="A313">
        <v>1312</v>
      </c>
      <c r="B313" s="1">
        <v>45292</v>
      </c>
      <c r="C313" t="s">
        <v>8</v>
      </c>
      <c r="D313" t="s">
        <v>11</v>
      </c>
      <c r="E313" t="s">
        <v>12</v>
      </c>
      <c r="F313">
        <v>3</v>
      </c>
      <c r="G313">
        <v>10185</v>
      </c>
      <c r="H313">
        <v>3485</v>
      </c>
      <c r="I313" t="str">
        <f t="shared" si="8"/>
        <v>Jan-2024</v>
      </c>
      <c r="J313" s="2">
        <f t="shared" si="9"/>
        <v>0.34216985763377517</v>
      </c>
    </row>
    <row r="314" spans="1:10" x14ac:dyDescent="0.3">
      <c r="A314">
        <v>1313</v>
      </c>
      <c r="B314" s="1">
        <v>45591</v>
      </c>
      <c r="C314" t="s">
        <v>18</v>
      </c>
      <c r="D314" t="s">
        <v>15</v>
      </c>
      <c r="E314" t="s">
        <v>21</v>
      </c>
      <c r="F314">
        <v>2</v>
      </c>
      <c r="G314">
        <v>8546</v>
      </c>
      <c r="H314">
        <v>1527</v>
      </c>
      <c r="I314" t="str">
        <f t="shared" si="8"/>
        <v>Oct-2024</v>
      </c>
      <c r="J314" s="2">
        <f t="shared" si="9"/>
        <v>0.1786800842499415</v>
      </c>
    </row>
    <row r="315" spans="1:10" x14ac:dyDescent="0.3">
      <c r="A315">
        <v>1314</v>
      </c>
      <c r="B315" s="1">
        <v>45395</v>
      </c>
      <c r="C315" t="s">
        <v>13</v>
      </c>
      <c r="D315" t="s">
        <v>15</v>
      </c>
      <c r="E315" t="s">
        <v>16</v>
      </c>
      <c r="F315">
        <v>3</v>
      </c>
      <c r="G315">
        <v>5622</v>
      </c>
      <c r="H315">
        <v>1422</v>
      </c>
      <c r="I315" t="str">
        <f t="shared" si="8"/>
        <v>Apr-2024</v>
      </c>
      <c r="J315" s="2">
        <f t="shared" si="9"/>
        <v>0.25293489861259338</v>
      </c>
    </row>
    <row r="316" spans="1:10" x14ac:dyDescent="0.3">
      <c r="A316">
        <v>1315</v>
      </c>
      <c r="B316" s="1">
        <v>45326</v>
      </c>
      <c r="C316" t="s">
        <v>13</v>
      </c>
      <c r="D316" t="s">
        <v>11</v>
      </c>
      <c r="E316" t="s">
        <v>22</v>
      </c>
      <c r="F316">
        <v>2</v>
      </c>
      <c r="G316">
        <v>18178</v>
      </c>
      <c r="H316">
        <v>2404</v>
      </c>
      <c r="I316" t="str">
        <f t="shared" si="8"/>
        <v>Feb-2024</v>
      </c>
      <c r="J316" s="2">
        <f t="shared" si="9"/>
        <v>0.13224777203212676</v>
      </c>
    </row>
    <row r="317" spans="1:10" x14ac:dyDescent="0.3">
      <c r="A317">
        <v>1316</v>
      </c>
      <c r="B317" s="1">
        <v>45624</v>
      </c>
      <c r="C317" t="s">
        <v>8</v>
      </c>
      <c r="D317" t="s">
        <v>9</v>
      </c>
      <c r="E317" t="s">
        <v>19</v>
      </c>
      <c r="F317">
        <v>5</v>
      </c>
      <c r="G317">
        <v>6630</v>
      </c>
      <c r="H317">
        <v>436</v>
      </c>
      <c r="I317" t="str">
        <f t="shared" si="8"/>
        <v>Nov-2024</v>
      </c>
      <c r="J317" s="2">
        <f t="shared" si="9"/>
        <v>6.5761689291101058E-2</v>
      </c>
    </row>
    <row r="318" spans="1:10" x14ac:dyDescent="0.3">
      <c r="A318">
        <v>1317</v>
      </c>
      <c r="B318" s="1">
        <v>45351</v>
      </c>
      <c r="C318" t="s">
        <v>18</v>
      </c>
      <c r="D318" t="s">
        <v>9</v>
      </c>
      <c r="E318" t="s">
        <v>10</v>
      </c>
      <c r="F318">
        <v>1</v>
      </c>
      <c r="G318">
        <v>5257</v>
      </c>
      <c r="H318">
        <v>1202</v>
      </c>
      <c r="I318" t="str">
        <f t="shared" si="8"/>
        <v>Feb-2024</v>
      </c>
      <c r="J318" s="2">
        <f t="shared" si="9"/>
        <v>0.22864751759558682</v>
      </c>
    </row>
    <row r="319" spans="1:10" x14ac:dyDescent="0.3">
      <c r="A319">
        <v>1318</v>
      </c>
      <c r="B319" s="1">
        <v>45431</v>
      </c>
      <c r="C319" t="s">
        <v>13</v>
      </c>
      <c r="D319" t="s">
        <v>15</v>
      </c>
      <c r="E319" t="s">
        <v>16</v>
      </c>
      <c r="F319">
        <v>4</v>
      </c>
      <c r="G319">
        <v>1346</v>
      </c>
      <c r="H319">
        <v>-303</v>
      </c>
      <c r="I319" t="str">
        <f t="shared" si="8"/>
        <v>May-2024</v>
      </c>
      <c r="J319" s="2">
        <f t="shared" si="9"/>
        <v>-0.22511144130757801</v>
      </c>
    </row>
    <row r="320" spans="1:10" x14ac:dyDescent="0.3">
      <c r="A320">
        <v>1319</v>
      </c>
      <c r="B320" s="1">
        <v>45546</v>
      </c>
      <c r="C320" t="s">
        <v>13</v>
      </c>
      <c r="D320" t="s">
        <v>11</v>
      </c>
      <c r="E320" t="s">
        <v>17</v>
      </c>
      <c r="F320">
        <v>3</v>
      </c>
      <c r="G320">
        <v>6804</v>
      </c>
      <c r="H320">
        <v>2485</v>
      </c>
      <c r="I320" t="str">
        <f t="shared" si="8"/>
        <v>Sep-2024</v>
      </c>
      <c r="J320" s="2">
        <f t="shared" si="9"/>
        <v>0.36522633744855965</v>
      </c>
    </row>
    <row r="321" spans="1:10" x14ac:dyDescent="0.3">
      <c r="A321">
        <v>1320</v>
      </c>
      <c r="B321" s="1">
        <v>45640</v>
      </c>
      <c r="C321" t="s">
        <v>13</v>
      </c>
      <c r="D321" t="s">
        <v>11</v>
      </c>
      <c r="E321" t="s">
        <v>22</v>
      </c>
      <c r="F321">
        <v>2</v>
      </c>
      <c r="G321">
        <v>9650</v>
      </c>
      <c r="H321">
        <v>827</v>
      </c>
      <c r="I321" t="str">
        <f t="shared" si="8"/>
        <v>Dec-2024</v>
      </c>
      <c r="J321" s="2">
        <f t="shared" si="9"/>
        <v>8.5699481865284977E-2</v>
      </c>
    </row>
    <row r="322" spans="1:10" x14ac:dyDescent="0.3">
      <c r="A322">
        <v>1321</v>
      </c>
      <c r="B322" s="1">
        <v>45489</v>
      </c>
      <c r="C322" t="s">
        <v>8</v>
      </c>
      <c r="D322" t="s">
        <v>9</v>
      </c>
      <c r="E322" t="s">
        <v>10</v>
      </c>
      <c r="F322">
        <v>3</v>
      </c>
      <c r="G322">
        <v>18531</v>
      </c>
      <c r="H322">
        <v>-240</v>
      </c>
      <c r="I322" t="str">
        <f t="shared" si="8"/>
        <v>Jul-2024</v>
      </c>
      <c r="J322" s="2">
        <f t="shared" si="9"/>
        <v>-1.2951270843451514E-2</v>
      </c>
    </row>
    <row r="323" spans="1:10" x14ac:dyDescent="0.3">
      <c r="A323">
        <v>1322</v>
      </c>
      <c r="B323" s="1">
        <v>45424</v>
      </c>
      <c r="C323" t="s">
        <v>13</v>
      </c>
      <c r="D323" t="s">
        <v>15</v>
      </c>
      <c r="E323" t="s">
        <v>16</v>
      </c>
      <c r="F323">
        <v>4</v>
      </c>
      <c r="G323">
        <v>14718</v>
      </c>
      <c r="H323">
        <v>-424</v>
      </c>
      <c r="I323" t="str">
        <f t="shared" ref="I323:I386" si="10">TEXT(B323,"mmm-yyyy")</f>
        <v>May-2024</v>
      </c>
      <c r="J323" s="2">
        <f t="shared" ref="J323:J386" si="11">H323/G323</f>
        <v>-2.8808261992118493E-2</v>
      </c>
    </row>
    <row r="324" spans="1:10" x14ac:dyDescent="0.3">
      <c r="A324">
        <v>1323</v>
      </c>
      <c r="B324" s="1">
        <v>45492</v>
      </c>
      <c r="C324" t="s">
        <v>8</v>
      </c>
      <c r="D324" t="s">
        <v>9</v>
      </c>
      <c r="E324" t="s">
        <v>10</v>
      </c>
      <c r="F324">
        <v>3</v>
      </c>
      <c r="G324">
        <v>18059</v>
      </c>
      <c r="H324">
        <v>3713</v>
      </c>
      <c r="I324" t="str">
        <f t="shared" si="10"/>
        <v>Jul-2024</v>
      </c>
      <c r="J324" s="2">
        <f t="shared" si="11"/>
        <v>0.20560385403399967</v>
      </c>
    </row>
    <row r="325" spans="1:10" x14ac:dyDescent="0.3">
      <c r="A325">
        <v>1324</v>
      </c>
      <c r="B325" s="1">
        <v>45541</v>
      </c>
      <c r="C325" t="s">
        <v>13</v>
      </c>
      <c r="D325" t="s">
        <v>11</v>
      </c>
      <c r="E325" t="s">
        <v>17</v>
      </c>
      <c r="F325">
        <v>3</v>
      </c>
      <c r="G325">
        <v>2952</v>
      </c>
      <c r="H325">
        <v>251</v>
      </c>
      <c r="I325" t="str">
        <f t="shared" si="10"/>
        <v>Sep-2024</v>
      </c>
      <c r="J325" s="2">
        <f t="shared" si="11"/>
        <v>8.5027100271002715E-2</v>
      </c>
    </row>
    <row r="326" spans="1:10" x14ac:dyDescent="0.3">
      <c r="A326">
        <v>1325</v>
      </c>
      <c r="B326" s="1">
        <v>45425</v>
      </c>
      <c r="C326" t="s">
        <v>13</v>
      </c>
      <c r="D326" t="s">
        <v>9</v>
      </c>
      <c r="E326" t="s">
        <v>14</v>
      </c>
      <c r="F326">
        <v>1</v>
      </c>
      <c r="G326">
        <v>14795</v>
      </c>
      <c r="H326">
        <v>3146</v>
      </c>
      <c r="I326" t="str">
        <f t="shared" si="10"/>
        <v>May-2024</v>
      </c>
      <c r="J326" s="2">
        <f t="shared" si="11"/>
        <v>0.21263940520446098</v>
      </c>
    </row>
    <row r="327" spans="1:10" x14ac:dyDescent="0.3">
      <c r="A327">
        <v>1326</v>
      </c>
      <c r="B327" s="1">
        <v>45614</v>
      </c>
      <c r="C327" t="s">
        <v>18</v>
      </c>
      <c r="D327" t="s">
        <v>15</v>
      </c>
      <c r="E327" t="s">
        <v>21</v>
      </c>
      <c r="F327">
        <v>2</v>
      </c>
      <c r="G327">
        <v>19984</v>
      </c>
      <c r="H327">
        <v>924</v>
      </c>
      <c r="I327" t="str">
        <f t="shared" si="10"/>
        <v>Nov-2024</v>
      </c>
      <c r="J327" s="2">
        <f t="shared" si="11"/>
        <v>4.6236989591673341E-2</v>
      </c>
    </row>
    <row r="328" spans="1:10" x14ac:dyDescent="0.3">
      <c r="A328">
        <v>1327</v>
      </c>
      <c r="B328" s="1">
        <v>45577</v>
      </c>
      <c r="C328" t="s">
        <v>18</v>
      </c>
      <c r="D328" t="s">
        <v>15</v>
      </c>
      <c r="E328" t="s">
        <v>16</v>
      </c>
      <c r="F328">
        <v>2</v>
      </c>
      <c r="G328">
        <v>7281</v>
      </c>
      <c r="H328">
        <v>1436</v>
      </c>
      <c r="I328" t="str">
        <f t="shared" si="10"/>
        <v>Oct-2024</v>
      </c>
      <c r="J328" s="2">
        <f t="shared" si="11"/>
        <v>0.19722565581650872</v>
      </c>
    </row>
    <row r="329" spans="1:10" x14ac:dyDescent="0.3">
      <c r="A329">
        <v>1328</v>
      </c>
      <c r="B329" s="1">
        <v>45322</v>
      </c>
      <c r="C329" t="s">
        <v>18</v>
      </c>
      <c r="D329" t="s">
        <v>9</v>
      </c>
      <c r="E329" t="s">
        <v>19</v>
      </c>
      <c r="F329">
        <v>2</v>
      </c>
      <c r="G329">
        <v>8694</v>
      </c>
      <c r="H329">
        <v>3246</v>
      </c>
      <c r="I329" t="str">
        <f t="shared" si="10"/>
        <v>Jan-2024</v>
      </c>
      <c r="J329" s="2">
        <f t="shared" si="11"/>
        <v>0.37336093857832986</v>
      </c>
    </row>
    <row r="330" spans="1:10" x14ac:dyDescent="0.3">
      <c r="A330">
        <v>1329</v>
      </c>
      <c r="B330" s="1">
        <v>45613</v>
      </c>
      <c r="C330" t="s">
        <v>13</v>
      </c>
      <c r="D330" t="s">
        <v>11</v>
      </c>
      <c r="E330" t="s">
        <v>12</v>
      </c>
      <c r="F330">
        <v>4</v>
      </c>
      <c r="G330">
        <v>4943</v>
      </c>
      <c r="H330">
        <v>1853</v>
      </c>
      <c r="I330" t="str">
        <f t="shared" si="10"/>
        <v>Nov-2024</v>
      </c>
      <c r="J330" s="2">
        <f t="shared" si="11"/>
        <v>0.37487355856767146</v>
      </c>
    </row>
    <row r="331" spans="1:10" x14ac:dyDescent="0.3">
      <c r="A331">
        <v>1330</v>
      </c>
      <c r="B331" s="1">
        <v>45541</v>
      </c>
      <c r="C331" t="s">
        <v>13</v>
      </c>
      <c r="D331" t="s">
        <v>11</v>
      </c>
      <c r="E331" t="s">
        <v>17</v>
      </c>
      <c r="F331">
        <v>5</v>
      </c>
      <c r="G331">
        <v>12280</v>
      </c>
      <c r="H331">
        <v>1060</v>
      </c>
      <c r="I331" t="str">
        <f t="shared" si="10"/>
        <v>Sep-2024</v>
      </c>
      <c r="J331" s="2">
        <f t="shared" si="11"/>
        <v>8.6319218241042342E-2</v>
      </c>
    </row>
    <row r="332" spans="1:10" x14ac:dyDescent="0.3">
      <c r="A332">
        <v>1331</v>
      </c>
      <c r="B332" s="1">
        <v>45621</v>
      </c>
      <c r="C332" t="s">
        <v>8</v>
      </c>
      <c r="D332" t="s">
        <v>11</v>
      </c>
      <c r="E332" t="s">
        <v>22</v>
      </c>
      <c r="F332">
        <v>5</v>
      </c>
      <c r="G332">
        <v>19927</v>
      </c>
      <c r="H332">
        <v>35</v>
      </c>
      <c r="I332" t="str">
        <f t="shared" si="10"/>
        <v>Nov-2024</v>
      </c>
      <c r="J332" s="2">
        <f t="shared" si="11"/>
        <v>1.7564108997842123E-3</v>
      </c>
    </row>
    <row r="333" spans="1:10" x14ac:dyDescent="0.3">
      <c r="A333">
        <v>1332</v>
      </c>
      <c r="B333" s="1">
        <v>45309</v>
      </c>
      <c r="C333" t="s">
        <v>8</v>
      </c>
      <c r="D333" t="s">
        <v>15</v>
      </c>
      <c r="E333" t="s">
        <v>20</v>
      </c>
      <c r="F333">
        <v>5</v>
      </c>
      <c r="G333">
        <v>10522</v>
      </c>
      <c r="H333">
        <v>683</v>
      </c>
      <c r="I333" t="str">
        <f t="shared" si="10"/>
        <v>Jan-2024</v>
      </c>
      <c r="J333" s="2">
        <f t="shared" si="11"/>
        <v>6.491161376164227E-2</v>
      </c>
    </row>
    <row r="334" spans="1:10" x14ac:dyDescent="0.3">
      <c r="A334">
        <v>1333</v>
      </c>
      <c r="B334" s="1">
        <v>45583</v>
      </c>
      <c r="C334" t="s">
        <v>18</v>
      </c>
      <c r="D334" t="s">
        <v>11</v>
      </c>
      <c r="E334" t="s">
        <v>22</v>
      </c>
      <c r="F334">
        <v>3</v>
      </c>
      <c r="G334">
        <v>17907</v>
      </c>
      <c r="H334">
        <v>541</v>
      </c>
      <c r="I334" t="str">
        <f t="shared" si="10"/>
        <v>Oct-2024</v>
      </c>
      <c r="J334" s="2">
        <f t="shared" si="11"/>
        <v>3.021164907578042E-2</v>
      </c>
    </row>
    <row r="335" spans="1:10" x14ac:dyDescent="0.3">
      <c r="A335">
        <v>1334</v>
      </c>
      <c r="B335" s="1">
        <v>45525</v>
      </c>
      <c r="C335" t="s">
        <v>13</v>
      </c>
      <c r="D335" t="s">
        <v>11</v>
      </c>
      <c r="E335" t="s">
        <v>22</v>
      </c>
      <c r="F335">
        <v>3</v>
      </c>
      <c r="G335">
        <v>3109</v>
      </c>
      <c r="H335">
        <v>-499</v>
      </c>
      <c r="I335" t="str">
        <f t="shared" si="10"/>
        <v>Aug-2024</v>
      </c>
      <c r="J335" s="2">
        <f t="shared" si="11"/>
        <v>-0.16050176905757479</v>
      </c>
    </row>
    <row r="336" spans="1:10" x14ac:dyDescent="0.3">
      <c r="A336">
        <v>1335</v>
      </c>
      <c r="B336" s="1">
        <v>45618</v>
      </c>
      <c r="C336" t="s">
        <v>8</v>
      </c>
      <c r="D336" t="s">
        <v>9</v>
      </c>
      <c r="E336" t="s">
        <v>19</v>
      </c>
      <c r="F336">
        <v>3</v>
      </c>
      <c r="G336">
        <v>14296</v>
      </c>
      <c r="H336">
        <v>4047</v>
      </c>
      <c r="I336" t="str">
        <f t="shared" si="10"/>
        <v>Nov-2024</v>
      </c>
      <c r="J336" s="2">
        <f t="shared" si="11"/>
        <v>0.28308617795187463</v>
      </c>
    </row>
    <row r="337" spans="1:10" x14ac:dyDescent="0.3">
      <c r="A337">
        <v>1336</v>
      </c>
      <c r="B337" s="1">
        <v>45509</v>
      </c>
      <c r="C337" t="s">
        <v>13</v>
      </c>
      <c r="D337" t="s">
        <v>11</v>
      </c>
      <c r="E337" t="s">
        <v>17</v>
      </c>
      <c r="F337">
        <v>1</v>
      </c>
      <c r="G337">
        <v>17143</v>
      </c>
      <c r="H337">
        <v>5236</v>
      </c>
      <c r="I337" t="str">
        <f t="shared" si="10"/>
        <v>Aug-2024</v>
      </c>
      <c r="J337" s="2">
        <f t="shared" si="11"/>
        <v>0.30543078807676605</v>
      </c>
    </row>
    <row r="338" spans="1:10" x14ac:dyDescent="0.3">
      <c r="A338">
        <v>1337</v>
      </c>
      <c r="B338" s="1">
        <v>45532</v>
      </c>
      <c r="C338" t="s">
        <v>13</v>
      </c>
      <c r="D338" t="s">
        <v>15</v>
      </c>
      <c r="E338" t="s">
        <v>16</v>
      </c>
      <c r="F338">
        <v>2</v>
      </c>
      <c r="G338">
        <v>3166</v>
      </c>
      <c r="H338">
        <v>1188</v>
      </c>
      <c r="I338" t="str">
        <f t="shared" si="10"/>
        <v>Aug-2024</v>
      </c>
      <c r="J338" s="2">
        <f t="shared" si="11"/>
        <v>0.37523689197725835</v>
      </c>
    </row>
    <row r="339" spans="1:10" x14ac:dyDescent="0.3">
      <c r="A339">
        <v>1338</v>
      </c>
      <c r="B339" s="1">
        <v>45402</v>
      </c>
      <c r="C339" t="s">
        <v>13</v>
      </c>
      <c r="D339" t="s">
        <v>11</v>
      </c>
      <c r="E339" t="s">
        <v>12</v>
      </c>
      <c r="F339">
        <v>1</v>
      </c>
      <c r="G339">
        <v>7376</v>
      </c>
      <c r="H339">
        <v>1678</v>
      </c>
      <c r="I339" t="str">
        <f t="shared" si="10"/>
        <v>Apr-2024</v>
      </c>
      <c r="J339" s="2">
        <f t="shared" si="11"/>
        <v>0.2274945770065076</v>
      </c>
    </row>
    <row r="340" spans="1:10" x14ac:dyDescent="0.3">
      <c r="A340">
        <v>1339</v>
      </c>
      <c r="B340" s="1">
        <v>45484</v>
      </c>
      <c r="C340" t="s">
        <v>8</v>
      </c>
      <c r="D340" t="s">
        <v>15</v>
      </c>
      <c r="E340" t="s">
        <v>21</v>
      </c>
      <c r="F340">
        <v>3</v>
      </c>
      <c r="G340">
        <v>14105</v>
      </c>
      <c r="H340">
        <v>5256</v>
      </c>
      <c r="I340" t="str">
        <f t="shared" si="10"/>
        <v>Jul-2024</v>
      </c>
      <c r="J340" s="2">
        <f t="shared" si="11"/>
        <v>0.37263381779510812</v>
      </c>
    </row>
    <row r="341" spans="1:10" x14ac:dyDescent="0.3">
      <c r="A341">
        <v>1340</v>
      </c>
      <c r="B341" s="1">
        <v>45468</v>
      </c>
      <c r="C341" t="s">
        <v>18</v>
      </c>
      <c r="D341" t="s">
        <v>15</v>
      </c>
      <c r="E341" t="s">
        <v>20</v>
      </c>
      <c r="F341">
        <v>5</v>
      </c>
      <c r="G341">
        <v>1757</v>
      </c>
      <c r="H341">
        <v>578</v>
      </c>
      <c r="I341" t="str">
        <f t="shared" si="10"/>
        <v>Jun-2024</v>
      </c>
      <c r="J341" s="2">
        <f t="shared" si="11"/>
        <v>0.32896983494593057</v>
      </c>
    </row>
    <row r="342" spans="1:10" x14ac:dyDescent="0.3">
      <c r="A342">
        <v>1341</v>
      </c>
      <c r="B342" s="1">
        <v>45366</v>
      </c>
      <c r="C342" t="s">
        <v>18</v>
      </c>
      <c r="D342" t="s">
        <v>9</v>
      </c>
      <c r="E342" t="s">
        <v>10</v>
      </c>
      <c r="F342">
        <v>4</v>
      </c>
      <c r="G342">
        <v>8336</v>
      </c>
      <c r="H342">
        <v>1213</v>
      </c>
      <c r="I342" t="str">
        <f t="shared" si="10"/>
        <v>Mar-2024</v>
      </c>
      <c r="J342" s="2">
        <f t="shared" si="11"/>
        <v>0.14551343570057582</v>
      </c>
    </row>
    <row r="343" spans="1:10" x14ac:dyDescent="0.3">
      <c r="A343">
        <v>1342</v>
      </c>
      <c r="B343" s="1">
        <v>45625</v>
      </c>
      <c r="C343" t="s">
        <v>13</v>
      </c>
      <c r="D343" t="s">
        <v>9</v>
      </c>
      <c r="E343" t="s">
        <v>19</v>
      </c>
      <c r="F343">
        <v>2</v>
      </c>
      <c r="G343">
        <v>12881</v>
      </c>
      <c r="H343">
        <v>79</v>
      </c>
      <c r="I343" t="str">
        <f t="shared" si="10"/>
        <v>Nov-2024</v>
      </c>
      <c r="J343" s="2">
        <f t="shared" si="11"/>
        <v>6.1330642030898224E-3</v>
      </c>
    </row>
    <row r="344" spans="1:10" x14ac:dyDescent="0.3">
      <c r="A344">
        <v>1343</v>
      </c>
      <c r="B344" s="1">
        <v>45595</v>
      </c>
      <c r="C344" t="s">
        <v>13</v>
      </c>
      <c r="D344" t="s">
        <v>9</v>
      </c>
      <c r="E344" t="s">
        <v>14</v>
      </c>
      <c r="F344">
        <v>3</v>
      </c>
      <c r="G344">
        <v>19043</v>
      </c>
      <c r="H344">
        <v>-34</v>
      </c>
      <c r="I344" t="str">
        <f t="shared" si="10"/>
        <v>Oct-2024</v>
      </c>
      <c r="J344" s="2">
        <f t="shared" si="11"/>
        <v>-1.7854329674946174E-3</v>
      </c>
    </row>
    <row r="345" spans="1:10" x14ac:dyDescent="0.3">
      <c r="A345">
        <v>1344</v>
      </c>
      <c r="B345" s="1">
        <v>45595</v>
      </c>
      <c r="C345" t="s">
        <v>13</v>
      </c>
      <c r="D345" t="s">
        <v>9</v>
      </c>
      <c r="E345" t="s">
        <v>19</v>
      </c>
      <c r="F345">
        <v>4</v>
      </c>
      <c r="G345">
        <v>1270</v>
      </c>
      <c r="H345">
        <v>342</v>
      </c>
      <c r="I345" t="str">
        <f t="shared" si="10"/>
        <v>Oct-2024</v>
      </c>
      <c r="J345" s="2">
        <f t="shared" si="11"/>
        <v>0.26929133858267718</v>
      </c>
    </row>
    <row r="346" spans="1:10" x14ac:dyDescent="0.3">
      <c r="A346">
        <v>1345</v>
      </c>
      <c r="B346" s="1">
        <v>45384</v>
      </c>
      <c r="C346" t="s">
        <v>8</v>
      </c>
      <c r="D346" t="s">
        <v>11</v>
      </c>
      <c r="E346" t="s">
        <v>22</v>
      </c>
      <c r="F346">
        <v>5</v>
      </c>
      <c r="G346">
        <v>6900</v>
      </c>
      <c r="H346">
        <v>2005</v>
      </c>
      <c r="I346" t="str">
        <f t="shared" si="10"/>
        <v>Apr-2024</v>
      </c>
      <c r="J346" s="2">
        <f t="shared" si="11"/>
        <v>0.29057971014492756</v>
      </c>
    </row>
    <row r="347" spans="1:10" x14ac:dyDescent="0.3">
      <c r="A347">
        <v>1346</v>
      </c>
      <c r="B347" s="1">
        <v>45359</v>
      </c>
      <c r="C347" t="s">
        <v>18</v>
      </c>
      <c r="D347" t="s">
        <v>11</v>
      </c>
      <c r="E347" t="s">
        <v>22</v>
      </c>
      <c r="F347">
        <v>5</v>
      </c>
      <c r="G347">
        <v>4559</v>
      </c>
      <c r="H347">
        <v>1177</v>
      </c>
      <c r="I347" t="str">
        <f t="shared" si="10"/>
        <v>Mar-2024</v>
      </c>
      <c r="J347" s="2">
        <f t="shared" si="11"/>
        <v>0.2581706514586532</v>
      </c>
    </row>
    <row r="348" spans="1:10" x14ac:dyDescent="0.3">
      <c r="A348">
        <v>1347</v>
      </c>
      <c r="B348" s="1">
        <v>45463</v>
      </c>
      <c r="C348" t="s">
        <v>13</v>
      </c>
      <c r="D348" t="s">
        <v>11</v>
      </c>
      <c r="E348" t="s">
        <v>12</v>
      </c>
      <c r="F348">
        <v>4</v>
      </c>
      <c r="G348">
        <v>12372</v>
      </c>
      <c r="H348">
        <v>1472</v>
      </c>
      <c r="I348" t="str">
        <f t="shared" si="10"/>
        <v>Jun-2024</v>
      </c>
      <c r="J348" s="2">
        <f t="shared" si="11"/>
        <v>0.11897833818299386</v>
      </c>
    </row>
    <row r="349" spans="1:10" x14ac:dyDescent="0.3">
      <c r="A349">
        <v>1348</v>
      </c>
      <c r="B349" s="1">
        <v>45632</v>
      </c>
      <c r="C349" t="s">
        <v>8</v>
      </c>
      <c r="D349" t="s">
        <v>9</v>
      </c>
      <c r="E349" t="s">
        <v>10</v>
      </c>
      <c r="F349">
        <v>4</v>
      </c>
      <c r="G349">
        <v>8823</v>
      </c>
      <c r="H349">
        <v>1689</v>
      </c>
      <c r="I349" t="str">
        <f t="shared" si="10"/>
        <v>Dec-2024</v>
      </c>
      <c r="J349" s="2">
        <f t="shared" si="11"/>
        <v>0.19143148588915335</v>
      </c>
    </row>
    <row r="350" spans="1:10" x14ac:dyDescent="0.3">
      <c r="A350">
        <v>1349</v>
      </c>
      <c r="B350" s="1">
        <v>45459</v>
      </c>
      <c r="C350" t="s">
        <v>13</v>
      </c>
      <c r="D350" t="s">
        <v>11</v>
      </c>
      <c r="E350" t="s">
        <v>12</v>
      </c>
      <c r="F350">
        <v>4</v>
      </c>
      <c r="G350">
        <v>16085</v>
      </c>
      <c r="H350">
        <v>4636</v>
      </c>
      <c r="I350" t="str">
        <f t="shared" si="10"/>
        <v>Jun-2024</v>
      </c>
      <c r="J350" s="2">
        <f t="shared" si="11"/>
        <v>0.28821883742617344</v>
      </c>
    </row>
    <row r="351" spans="1:10" x14ac:dyDescent="0.3">
      <c r="A351">
        <v>1350</v>
      </c>
      <c r="B351" s="1">
        <v>45481</v>
      </c>
      <c r="C351" t="s">
        <v>8</v>
      </c>
      <c r="D351" t="s">
        <v>15</v>
      </c>
      <c r="E351" t="s">
        <v>16</v>
      </c>
      <c r="F351">
        <v>4</v>
      </c>
      <c r="G351">
        <v>11080</v>
      </c>
      <c r="H351">
        <v>1395</v>
      </c>
      <c r="I351" t="str">
        <f t="shared" si="10"/>
        <v>Jul-2024</v>
      </c>
      <c r="J351" s="2">
        <f t="shared" si="11"/>
        <v>0.12590252707581229</v>
      </c>
    </row>
    <row r="352" spans="1:10" x14ac:dyDescent="0.3">
      <c r="A352">
        <v>1351</v>
      </c>
      <c r="B352" s="1">
        <v>45390</v>
      </c>
      <c r="C352" t="s">
        <v>8</v>
      </c>
      <c r="D352" t="s">
        <v>15</v>
      </c>
      <c r="E352" t="s">
        <v>21</v>
      </c>
      <c r="F352">
        <v>3</v>
      </c>
      <c r="G352">
        <v>14697</v>
      </c>
      <c r="H352">
        <v>1180</v>
      </c>
      <c r="I352" t="str">
        <f t="shared" si="10"/>
        <v>Apr-2024</v>
      </c>
      <c r="J352" s="2">
        <f t="shared" si="11"/>
        <v>8.0288494250527323E-2</v>
      </c>
    </row>
    <row r="353" spans="1:10" x14ac:dyDescent="0.3">
      <c r="A353">
        <v>1352</v>
      </c>
      <c r="B353" s="1">
        <v>45623</v>
      </c>
      <c r="C353" t="s">
        <v>18</v>
      </c>
      <c r="D353" t="s">
        <v>9</v>
      </c>
      <c r="E353" t="s">
        <v>14</v>
      </c>
      <c r="F353">
        <v>5</v>
      </c>
      <c r="G353">
        <v>11506</v>
      </c>
      <c r="H353">
        <v>-149</v>
      </c>
      <c r="I353" t="str">
        <f t="shared" si="10"/>
        <v>Nov-2024</v>
      </c>
      <c r="J353" s="2">
        <f t="shared" si="11"/>
        <v>-1.2949765339822701E-2</v>
      </c>
    </row>
    <row r="354" spans="1:10" x14ac:dyDescent="0.3">
      <c r="A354">
        <v>1353</v>
      </c>
      <c r="B354" s="1">
        <v>45646</v>
      </c>
      <c r="C354" t="s">
        <v>18</v>
      </c>
      <c r="D354" t="s">
        <v>9</v>
      </c>
      <c r="E354" t="s">
        <v>14</v>
      </c>
      <c r="F354">
        <v>5</v>
      </c>
      <c r="G354">
        <v>6173</v>
      </c>
      <c r="H354">
        <v>406</v>
      </c>
      <c r="I354" t="str">
        <f t="shared" si="10"/>
        <v>Dec-2024</v>
      </c>
      <c r="J354" s="2">
        <f t="shared" si="11"/>
        <v>6.5770289972460719E-2</v>
      </c>
    </row>
    <row r="355" spans="1:10" x14ac:dyDescent="0.3">
      <c r="A355">
        <v>1354</v>
      </c>
      <c r="B355" s="1">
        <v>45400</v>
      </c>
      <c r="C355" t="s">
        <v>18</v>
      </c>
      <c r="D355" t="s">
        <v>11</v>
      </c>
      <c r="E355" t="s">
        <v>17</v>
      </c>
      <c r="F355">
        <v>1</v>
      </c>
      <c r="G355">
        <v>6566</v>
      </c>
      <c r="H355">
        <v>170</v>
      </c>
      <c r="I355" t="str">
        <f t="shared" si="10"/>
        <v>Apr-2024</v>
      </c>
      <c r="J355" s="2">
        <f t="shared" si="11"/>
        <v>2.5890953396283885E-2</v>
      </c>
    </row>
    <row r="356" spans="1:10" x14ac:dyDescent="0.3">
      <c r="A356">
        <v>1355</v>
      </c>
      <c r="B356" s="1">
        <v>45303</v>
      </c>
      <c r="C356" t="s">
        <v>18</v>
      </c>
      <c r="D356" t="s">
        <v>15</v>
      </c>
      <c r="E356" t="s">
        <v>21</v>
      </c>
      <c r="F356">
        <v>4</v>
      </c>
      <c r="G356">
        <v>17049</v>
      </c>
      <c r="H356">
        <v>3020</v>
      </c>
      <c r="I356" t="str">
        <f t="shared" si="10"/>
        <v>Jan-2024</v>
      </c>
      <c r="J356" s="2">
        <f t="shared" si="11"/>
        <v>0.17713648894363307</v>
      </c>
    </row>
    <row r="357" spans="1:10" x14ac:dyDescent="0.3">
      <c r="A357">
        <v>1356</v>
      </c>
      <c r="B357" s="1">
        <v>45591</v>
      </c>
      <c r="C357" t="s">
        <v>13</v>
      </c>
      <c r="D357" t="s">
        <v>9</v>
      </c>
      <c r="E357" t="s">
        <v>10</v>
      </c>
      <c r="F357">
        <v>4</v>
      </c>
      <c r="G357">
        <v>1391</v>
      </c>
      <c r="H357">
        <v>-61</v>
      </c>
      <c r="I357" t="str">
        <f t="shared" si="10"/>
        <v>Oct-2024</v>
      </c>
      <c r="J357" s="2">
        <f t="shared" si="11"/>
        <v>-4.3853342918763479E-2</v>
      </c>
    </row>
    <row r="358" spans="1:10" x14ac:dyDescent="0.3">
      <c r="A358">
        <v>1357</v>
      </c>
      <c r="B358" s="1">
        <v>45359</v>
      </c>
      <c r="C358" t="s">
        <v>13</v>
      </c>
      <c r="D358" t="s">
        <v>9</v>
      </c>
      <c r="E358" t="s">
        <v>14</v>
      </c>
      <c r="F358">
        <v>2</v>
      </c>
      <c r="G358">
        <v>4192</v>
      </c>
      <c r="H358">
        <v>567</v>
      </c>
      <c r="I358" t="str">
        <f t="shared" si="10"/>
        <v>Mar-2024</v>
      </c>
      <c r="J358" s="2">
        <f t="shared" si="11"/>
        <v>0.13525763358778625</v>
      </c>
    </row>
    <row r="359" spans="1:10" x14ac:dyDescent="0.3">
      <c r="A359">
        <v>1358</v>
      </c>
      <c r="B359" s="1">
        <v>45429</v>
      </c>
      <c r="C359" t="s">
        <v>18</v>
      </c>
      <c r="D359" t="s">
        <v>9</v>
      </c>
      <c r="E359" t="s">
        <v>19</v>
      </c>
      <c r="F359">
        <v>3</v>
      </c>
      <c r="G359">
        <v>9945</v>
      </c>
      <c r="H359">
        <v>1221</v>
      </c>
      <c r="I359" t="str">
        <f t="shared" si="10"/>
        <v>May-2024</v>
      </c>
      <c r="J359" s="2">
        <f t="shared" si="11"/>
        <v>0.12277526395173453</v>
      </c>
    </row>
    <row r="360" spans="1:10" x14ac:dyDescent="0.3">
      <c r="A360">
        <v>1359</v>
      </c>
      <c r="B360" s="1">
        <v>45337</v>
      </c>
      <c r="C360" t="s">
        <v>18</v>
      </c>
      <c r="D360" t="s">
        <v>15</v>
      </c>
      <c r="E360" t="s">
        <v>21</v>
      </c>
      <c r="F360">
        <v>2</v>
      </c>
      <c r="G360">
        <v>12930</v>
      </c>
      <c r="H360">
        <v>4558</v>
      </c>
      <c r="I360" t="str">
        <f t="shared" si="10"/>
        <v>Feb-2024</v>
      </c>
      <c r="J360" s="2">
        <f t="shared" si="11"/>
        <v>0.35251353441608663</v>
      </c>
    </row>
    <row r="361" spans="1:10" x14ac:dyDescent="0.3">
      <c r="A361">
        <v>1360</v>
      </c>
      <c r="B361" s="1">
        <v>45539</v>
      </c>
      <c r="C361" t="s">
        <v>8</v>
      </c>
      <c r="D361" t="s">
        <v>11</v>
      </c>
      <c r="E361" t="s">
        <v>12</v>
      </c>
      <c r="F361">
        <v>4</v>
      </c>
      <c r="G361">
        <v>7986</v>
      </c>
      <c r="H361">
        <v>2472</v>
      </c>
      <c r="I361" t="str">
        <f t="shared" si="10"/>
        <v>Sep-2024</v>
      </c>
      <c r="J361" s="2">
        <f t="shared" si="11"/>
        <v>0.30954169797145004</v>
      </c>
    </row>
    <row r="362" spans="1:10" x14ac:dyDescent="0.3">
      <c r="A362">
        <v>1361</v>
      </c>
      <c r="B362" s="1">
        <v>45612</v>
      </c>
      <c r="C362" t="s">
        <v>8</v>
      </c>
      <c r="D362" t="s">
        <v>15</v>
      </c>
      <c r="E362" t="s">
        <v>21</v>
      </c>
      <c r="F362">
        <v>3</v>
      </c>
      <c r="G362">
        <v>16093</v>
      </c>
      <c r="H362">
        <v>3192</v>
      </c>
      <c r="I362" t="str">
        <f t="shared" si="10"/>
        <v>Nov-2024</v>
      </c>
      <c r="J362" s="2">
        <f t="shared" si="11"/>
        <v>0.19834710743801653</v>
      </c>
    </row>
    <row r="363" spans="1:10" x14ac:dyDescent="0.3">
      <c r="A363">
        <v>1362</v>
      </c>
      <c r="B363" s="1">
        <v>45427</v>
      </c>
      <c r="C363" t="s">
        <v>13</v>
      </c>
      <c r="D363" t="s">
        <v>11</v>
      </c>
      <c r="E363" t="s">
        <v>12</v>
      </c>
      <c r="F363">
        <v>4</v>
      </c>
      <c r="G363">
        <v>18630</v>
      </c>
      <c r="H363">
        <v>4533</v>
      </c>
      <c r="I363" t="str">
        <f t="shared" si="10"/>
        <v>May-2024</v>
      </c>
      <c r="J363" s="2">
        <f t="shared" si="11"/>
        <v>0.24331723027375202</v>
      </c>
    </row>
    <row r="364" spans="1:10" x14ac:dyDescent="0.3">
      <c r="A364">
        <v>1363</v>
      </c>
      <c r="B364" s="1">
        <v>45316</v>
      </c>
      <c r="C364" t="s">
        <v>8</v>
      </c>
      <c r="D364" t="s">
        <v>15</v>
      </c>
      <c r="E364" t="s">
        <v>20</v>
      </c>
      <c r="F364">
        <v>1</v>
      </c>
      <c r="G364">
        <v>1760</v>
      </c>
      <c r="H364">
        <v>62</v>
      </c>
      <c r="I364" t="str">
        <f t="shared" si="10"/>
        <v>Jan-2024</v>
      </c>
      <c r="J364" s="2">
        <f t="shared" si="11"/>
        <v>3.5227272727272725E-2</v>
      </c>
    </row>
    <row r="365" spans="1:10" x14ac:dyDescent="0.3">
      <c r="A365">
        <v>1364</v>
      </c>
      <c r="B365" s="1">
        <v>45420</v>
      </c>
      <c r="C365" t="s">
        <v>18</v>
      </c>
      <c r="D365" t="s">
        <v>11</v>
      </c>
      <c r="E365" t="s">
        <v>17</v>
      </c>
      <c r="F365">
        <v>2</v>
      </c>
      <c r="G365">
        <v>17617</v>
      </c>
      <c r="H365">
        <v>547</v>
      </c>
      <c r="I365" t="str">
        <f t="shared" si="10"/>
        <v>May-2024</v>
      </c>
      <c r="J365" s="2">
        <f t="shared" si="11"/>
        <v>3.1049554407674405E-2</v>
      </c>
    </row>
    <row r="366" spans="1:10" x14ac:dyDescent="0.3">
      <c r="A366">
        <v>1365</v>
      </c>
      <c r="B366" s="1">
        <v>45400</v>
      </c>
      <c r="C366" t="s">
        <v>18</v>
      </c>
      <c r="D366" t="s">
        <v>15</v>
      </c>
      <c r="E366" t="s">
        <v>16</v>
      </c>
      <c r="F366">
        <v>2</v>
      </c>
      <c r="G366">
        <v>18057</v>
      </c>
      <c r="H366">
        <v>4357</v>
      </c>
      <c r="I366" t="str">
        <f t="shared" si="10"/>
        <v>Apr-2024</v>
      </c>
      <c r="J366" s="2">
        <f t="shared" si="11"/>
        <v>0.24129146591349615</v>
      </c>
    </row>
    <row r="367" spans="1:10" x14ac:dyDescent="0.3">
      <c r="A367">
        <v>1366</v>
      </c>
      <c r="B367" s="1">
        <v>45425</v>
      </c>
      <c r="C367" t="s">
        <v>18</v>
      </c>
      <c r="D367" t="s">
        <v>11</v>
      </c>
      <c r="E367" t="s">
        <v>12</v>
      </c>
      <c r="F367">
        <v>4</v>
      </c>
      <c r="G367">
        <v>13446</v>
      </c>
      <c r="H367">
        <v>2811</v>
      </c>
      <c r="I367" t="str">
        <f t="shared" si="10"/>
        <v>May-2024</v>
      </c>
      <c r="J367" s="2">
        <f t="shared" si="11"/>
        <v>0.20905845604640785</v>
      </c>
    </row>
    <row r="368" spans="1:10" x14ac:dyDescent="0.3">
      <c r="A368">
        <v>1367</v>
      </c>
      <c r="B368" s="1">
        <v>45518</v>
      </c>
      <c r="C368" t="s">
        <v>18</v>
      </c>
      <c r="D368" t="s">
        <v>9</v>
      </c>
      <c r="E368" t="s">
        <v>14</v>
      </c>
      <c r="F368">
        <v>4</v>
      </c>
      <c r="G368">
        <v>17096</v>
      </c>
      <c r="H368">
        <v>6751</v>
      </c>
      <c r="I368" t="str">
        <f t="shared" si="10"/>
        <v>Aug-2024</v>
      </c>
      <c r="J368" s="2">
        <f t="shared" si="11"/>
        <v>0.39488769302760879</v>
      </c>
    </row>
    <row r="369" spans="1:10" x14ac:dyDescent="0.3">
      <c r="A369">
        <v>1368</v>
      </c>
      <c r="B369" s="1">
        <v>45578</v>
      </c>
      <c r="C369" t="s">
        <v>8</v>
      </c>
      <c r="D369" t="s">
        <v>11</v>
      </c>
      <c r="E369" t="s">
        <v>12</v>
      </c>
      <c r="F369">
        <v>4</v>
      </c>
      <c r="G369">
        <v>17892</v>
      </c>
      <c r="H369">
        <v>4415</v>
      </c>
      <c r="I369" t="str">
        <f t="shared" si="10"/>
        <v>Oct-2024</v>
      </c>
      <c r="J369" s="2">
        <f t="shared" si="11"/>
        <v>0.24675832774424325</v>
      </c>
    </row>
    <row r="370" spans="1:10" x14ac:dyDescent="0.3">
      <c r="A370">
        <v>1369</v>
      </c>
      <c r="B370" s="1">
        <v>45495</v>
      </c>
      <c r="C370" t="s">
        <v>8</v>
      </c>
      <c r="D370" t="s">
        <v>15</v>
      </c>
      <c r="E370" t="s">
        <v>16</v>
      </c>
      <c r="F370">
        <v>1</v>
      </c>
      <c r="G370">
        <v>12402</v>
      </c>
      <c r="H370">
        <v>3469</v>
      </c>
      <c r="I370" t="str">
        <f t="shared" si="10"/>
        <v>Jul-2024</v>
      </c>
      <c r="J370" s="2">
        <f t="shared" si="11"/>
        <v>0.27971294952427028</v>
      </c>
    </row>
    <row r="371" spans="1:10" x14ac:dyDescent="0.3">
      <c r="A371">
        <v>1370</v>
      </c>
      <c r="B371" s="1">
        <v>45583</v>
      </c>
      <c r="C371" t="s">
        <v>18</v>
      </c>
      <c r="D371" t="s">
        <v>9</v>
      </c>
      <c r="E371" t="s">
        <v>14</v>
      </c>
      <c r="F371">
        <v>2</v>
      </c>
      <c r="G371">
        <v>16781</v>
      </c>
      <c r="H371">
        <v>1329</v>
      </c>
      <c r="I371" t="str">
        <f t="shared" si="10"/>
        <v>Oct-2024</v>
      </c>
      <c r="J371" s="2">
        <f t="shared" si="11"/>
        <v>7.9196710565520523E-2</v>
      </c>
    </row>
    <row r="372" spans="1:10" x14ac:dyDescent="0.3">
      <c r="A372">
        <v>1371</v>
      </c>
      <c r="B372" s="1">
        <v>45360</v>
      </c>
      <c r="C372" t="s">
        <v>18</v>
      </c>
      <c r="D372" t="s">
        <v>15</v>
      </c>
      <c r="E372" t="s">
        <v>21</v>
      </c>
      <c r="F372">
        <v>5</v>
      </c>
      <c r="G372">
        <v>19156</v>
      </c>
      <c r="H372">
        <v>28</v>
      </c>
      <c r="I372" t="str">
        <f t="shared" si="10"/>
        <v>Mar-2024</v>
      </c>
      <c r="J372" s="2">
        <f t="shared" si="11"/>
        <v>1.4616830235957402E-3</v>
      </c>
    </row>
    <row r="373" spans="1:10" x14ac:dyDescent="0.3">
      <c r="A373">
        <v>1372</v>
      </c>
      <c r="B373" s="1">
        <v>45411</v>
      </c>
      <c r="C373" t="s">
        <v>8</v>
      </c>
      <c r="D373" t="s">
        <v>15</v>
      </c>
      <c r="E373" t="s">
        <v>20</v>
      </c>
      <c r="F373">
        <v>5</v>
      </c>
      <c r="G373">
        <v>17143</v>
      </c>
      <c r="H373">
        <v>2230</v>
      </c>
      <c r="I373" t="str">
        <f t="shared" si="10"/>
        <v>Apr-2024</v>
      </c>
      <c r="J373" s="2">
        <f t="shared" si="11"/>
        <v>0.13008224931458903</v>
      </c>
    </row>
    <row r="374" spans="1:10" x14ac:dyDescent="0.3">
      <c r="A374">
        <v>1373</v>
      </c>
      <c r="B374" s="1">
        <v>45413</v>
      </c>
      <c r="C374" t="s">
        <v>13</v>
      </c>
      <c r="D374" t="s">
        <v>11</v>
      </c>
      <c r="E374" t="s">
        <v>22</v>
      </c>
      <c r="F374">
        <v>5</v>
      </c>
      <c r="G374">
        <v>14423</v>
      </c>
      <c r="H374">
        <v>3490</v>
      </c>
      <c r="I374" t="str">
        <f t="shared" si="10"/>
        <v>May-2024</v>
      </c>
      <c r="J374" s="2">
        <f t="shared" si="11"/>
        <v>0.24197462386466062</v>
      </c>
    </row>
    <row r="375" spans="1:10" x14ac:dyDescent="0.3">
      <c r="A375">
        <v>1374</v>
      </c>
      <c r="B375" s="1">
        <v>45428</v>
      </c>
      <c r="C375" t="s">
        <v>13</v>
      </c>
      <c r="D375" t="s">
        <v>11</v>
      </c>
      <c r="E375" t="s">
        <v>22</v>
      </c>
      <c r="F375">
        <v>2</v>
      </c>
      <c r="G375">
        <v>19629</v>
      </c>
      <c r="H375">
        <v>6629</v>
      </c>
      <c r="I375" t="str">
        <f t="shared" si="10"/>
        <v>May-2024</v>
      </c>
      <c r="J375" s="2">
        <f t="shared" si="11"/>
        <v>0.33771460594019054</v>
      </c>
    </row>
    <row r="376" spans="1:10" x14ac:dyDescent="0.3">
      <c r="A376">
        <v>1375</v>
      </c>
      <c r="B376" s="1">
        <v>45498</v>
      </c>
      <c r="C376" t="s">
        <v>18</v>
      </c>
      <c r="D376" t="s">
        <v>9</v>
      </c>
      <c r="E376" t="s">
        <v>10</v>
      </c>
      <c r="F376">
        <v>3</v>
      </c>
      <c r="G376">
        <v>16886</v>
      </c>
      <c r="H376">
        <v>4421</v>
      </c>
      <c r="I376" t="str">
        <f t="shared" si="10"/>
        <v>Jul-2024</v>
      </c>
      <c r="J376" s="2">
        <f t="shared" si="11"/>
        <v>0.2618145209048916</v>
      </c>
    </row>
    <row r="377" spans="1:10" x14ac:dyDescent="0.3">
      <c r="A377">
        <v>1376</v>
      </c>
      <c r="B377" s="1">
        <v>45525</v>
      </c>
      <c r="C377" t="s">
        <v>8</v>
      </c>
      <c r="D377" t="s">
        <v>11</v>
      </c>
      <c r="E377" t="s">
        <v>22</v>
      </c>
      <c r="F377">
        <v>1</v>
      </c>
      <c r="G377">
        <v>1363</v>
      </c>
      <c r="H377">
        <v>383</v>
      </c>
      <c r="I377" t="str">
        <f t="shared" si="10"/>
        <v>Aug-2024</v>
      </c>
      <c r="J377" s="2">
        <f t="shared" si="11"/>
        <v>0.28099779897285398</v>
      </c>
    </row>
    <row r="378" spans="1:10" x14ac:dyDescent="0.3">
      <c r="A378">
        <v>1377</v>
      </c>
      <c r="B378" s="1">
        <v>45568</v>
      </c>
      <c r="C378" t="s">
        <v>8</v>
      </c>
      <c r="D378" t="s">
        <v>15</v>
      </c>
      <c r="E378" t="s">
        <v>21</v>
      </c>
      <c r="F378">
        <v>2</v>
      </c>
      <c r="G378">
        <v>17312</v>
      </c>
      <c r="H378">
        <v>2777</v>
      </c>
      <c r="I378" t="str">
        <f t="shared" si="10"/>
        <v>Oct-2024</v>
      </c>
      <c r="J378" s="2">
        <f t="shared" si="11"/>
        <v>0.16040896487985212</v>
      </c>
    </row>
    <row r="379" spans="1:10" x14ac:dyDescent="0.3">
      <c r="A379">
        <v>1378</v>
      </c>
      <c r="B379" s="1">
        <v>45496</v>
      </c>
      <c r="C379" t="s">
        <v>18</v>
      </c>
      <c r="D379" t="s">
        <v>11</v>
      </c>
      <c r="E379" t="s">
        <v>12</v>
      </c>
      <c r="F379">
        <v>5</v>
      </c>
      <c r="G379">
        <v>7496</v>
      </c>
      <c r="H379">
        <v>1723</v>
      </c>
      <c r="I379" t="str">
        <f t="shared" si="10"/>
        <v>Jul-2024</v>
      </c>
      <c r="J379" s="2">
        <f t="shared" si="11"/>
        <v>0.22985592315901815</v>
      </c>
    </row>
    <row r="380" spans="1:10" x14ac:dyDescent="0.3">
      <c r="A380">
        <v>1379</v>
      </c>
      <c r="B380" s="1">
        <v>45385</v>
      </c>
      <c r="C380" t="s">
        <v>13</v>
      </c>
      <c r="D380" t="s">
        <v>15</v>
      </c>
      <c r="E380" t="s">
        <v>16</v>
      </c>
      <c r="F380">
        <v>1</v>
      </c>
      <c r="G380">
        <v>19896</v>
      </c>
      <c r="H380">
        <v>4165</v>
      </c>
      <c r="I380" t="str">
        <f t="shared" si="10"/>
        <v>Apr-2024</v>
      </c>
      <c r="J380" s="2">
        <f t="shared" si="11"/>
        <v>0.20933856051467631</v>
      </c>
    </row>
    <row r="381" spans="1:10" x14ac:dyDescent="0.3">
      <c r="A381">
        <v>1380</v>
      </c>
      <c r="B381" s="1">
        <v>45463</v>
      </c>
      <c r="C381" t="s">
        <v>8</v>
      </c>
      <c r="D381" t="s">
        <v>15</v>
      </c>
      <c r="E381" t="s">
        <v>20</v>
      </c>
      <c r="F381">
        <v>4</v>
      </c>
      <c r="G381">
        <v>18879</v>
      </c>
      <c r="H381">
        <v>2851</v>
      </c>
      <c r="I381" t="str">
        <f t="shared" si="10"/>
        <v>Jun-2024</v>
      </c>
      <c r="J381" s="2">
        <f t="shared" si="11"/>
        <v>0.15101435457386514</v>
      </c>
    </row>
    <row r="382" spans="1:10" x14ac:dyDescent="0.3">
      <c r="A382">
        <v>1381</v>
      </c>
      <c r="B382" s="1">
        <v>45350</v>
      </c>
      <c r="C382" t="s">
        <v>8</v>
      </c>
      <c r="D382" t="s">
        <v>11</v>
      </c>
      <c r="E382" t="s">
        <v>12</v>
      </c>
      <c r="F382">
        <v>1</v>
      </c>
      <c r="G382">
        <v>19135</v>
      </c>
      <c r="H382">
        <v>5010</v>
      </c>
      <c r="I382" t="str">
        <f t="shared" si="10"/>
        <v>Feb-2024</v>
      </c>
      <c r="J382" s="2">
        <f t="shared" si="11"/>
        <v>0.26182388293702641</v>
      </c>
    </row>
    <row r="383" spans="1:10" x14ac:dyDescent="0.3">
      <c r="A383">
        <v>1382</v>
      </c>
      <c r="B383" s="1">
        <v>45358</v>
      </c>
      <c r="C383" t="s">
        <v>18</v>
      </c>
      <c r="D383" t="s">
        <v>11</v>
      </c>
      <c r="E383" t="s">
        <v>22</v>
      </c>
      <c r="F383">
        <v>3</v>
      </c>
      <c r="G383">
        <v>12028</v>
      </c>
      <c r="H383">
        <v>4358</v>
      </c>
      <c r="I383" t="str">
        <f t="shared" si="10"/>
        <v>Mar-2024</v>
      </c>
      <c r="J383" s="2">
        <f t="shared" si="11"/>
        <v>0.36232125041569668</v>
      </c>
    </row>
    <row r="384" spans="1:10" x14ac:dyDescent="0.3">
      <c r="A384">
        <v>1383</v>
      </c>
      <c r="B384" s="1">
        <v>45508</v>
      </c>
      <c r="C384" t="s">
        <v>13</v>
      </c>
      <c r="D384" t="s">
        <v>15</v>
      </c>
      <c r="E384" t="s">
        <v>16</v>
      </c>
      <c r="F384">
        <v>3</v>
      </c>
      <c r="G384">
        <v>12793</v>
      </c>
      <c r="H384">
        <v>2579</v>
      </c>
      <c r="I384" t="str">
        <f t="shared" si="10"/>
        <v>Aug-2024</v>
      </c>
      <c r="J384" s="2">
        <f t="shared" si="11"/>
        <v>0.20159462205893849</v>
      </c>
    </row>
    <row r="385" spans="1:10" x14ac:dyDescent="0.3">
      <c r="A385">
        <v>1384</v>
      </c>
      <c r="B385" s="1">
        <v>45426</v>
      </c>
      <c r="C385" t="s">
        <v>18</v>
      </c>
      <c r="D385" t="s">
        <v>15</v>
      </c>
      <c r="E385" t="s">
        <v>20</v>
      </c>
      <c r="F385">
        <v>2</v>
      </c>
      <c r="G385">
        <v>7144</v>
      </c>
      <c r="H385">
        <v>943</v>
      </c>
      <c r="I385" t="str">
        <f t="shared" si="10"/>
        <v>May-2024</v>
      </c>
      <c r="J385" s="2">
        <f t="shared" si="11"/>
        <v>0.13199888017917133</v>
      </c>
    </row>
    <row r="386" spans="1:10" x14ac:dyDescent="0.3">
      <c r="A386">
        <v>1385</v>
      </c>
      <c r="B386" s="1">
        <v>45607</v>
      </c>
      <c r="C386" t="s">
        <v>8</v>
      </c>
      <c r="D386" t="s">
        <v>15</v>
      </c>
      <c r="E386" t="s">
        <v>16</v>
      </c>
      <c r="F386">
        <v>3</v>
      </c>
      <c r="G386">
        <v>4859</v>
      </c>
      <c r="H386">
        <v>-209</v>
      </c>
      <c r="I386" t="str">
        <f t="shared" si="10"/>
        <v>Nov-2024</v>
      </c>
      <c r="J386" s="2">
        <f t="shared" si="11"/>
        <v>-4.3012965630788227E-2</v>
      </c>
    </row>
    <row r="387" spans="1:10" x14ac:dyDescent="0.3">
      <c r="A387">
        <v>1386</v>
      </c>
      <c r="B387" s="1">
        <v>45502</v>
      </c>
      <c r="C387" t="s">
        <v>18</v>
      </c>
      <c r="D387" t="s">
        <v>15</v>
      </c>
      <c r="E387" t="s">
        <v>20</v>
      </c>
      <c r="F387">
        <v>2</v>
      </c>
      <c r="G387">
        <v>17555</v>
      </c>
      <c r="H387">
        <v>1981</v>
      </c>
      <c r="I387" t="str">
        <f t="shared" ref="I387:I401" si="12">TEXT(B387,"mmm-yyyy")</f>
        <v>Jul-2024</v>
      </c>
      <c r="J387" s="2">
        <f t="shared" ref="J387:J401" si="13">H387/G387</f>
        <v>0.11284534320706352</v>
      </c>
    </row>
    <row r="388" spans="1:10" x14ac:dyDescent="0.3">
      <c r="A388">
        <v>1387</v>
      </c>
      <c r="B388" s="1">
        <v>45586</v>
      </c>
      <c r="C388" t="s">
        <v>18</v>
      </c>
      <c r="D388" t="s">
        <v>15</v>
      </c>
      <c r="E388" t="s">
        <v>20</v>
      </c>
      <c r="F388">
        <v>5</v>
      </c>
      <c r="G388">
        <v>16784</v>
      </c>
      <c r="H388">
        <v>-383</v>
      </c>
      <c r="I388" t="str">
        <f t="shared" si="12"/>
        <v>Oct-2024</v>
      </c>
      <c r="J388" s="2">
        <f t="shared" si="13"/>
        <v>-2.2819351763584367E-2</v>
      </c>
    </row>
    <row r="389" spans="1:10" x14ac:dyDescent="0.3">
      <c r="A389">
        <v>1388</v>
      </c>
      <c r="B389" s="1">
        <v>45457</v>
      </c>
      <c r="C389" t="s">
        <v>13</v>
      </c>
      <c r="D389" t="s">
        <v>9</v>
      </c>
      <c r="E389" t="s">
        <v>19</v>
      </c>
      <c r="F389">
        <v>3</v>
      </c>
      <c r="G389">
        <v>15284</v>
      </c>
      <c r="H389">
        <v>5013</v>
      </c>
      <c r="I389" t="str">
        <f t="shared" si="12"/>
        <v>Jun-2024</v>
      </c>
      <c r="J389" s="2">
        <f t="shared" si="13"/>
        <v>0.32799005495943473</v>
      </c>
    </row>
    <row r="390" spans="1:10" x14ac:dyDescent="0.3">
      <c r="A390">
        <v>1389</v>
      </c>
      <c r="B390" s="1">
        <v>45311</v>
      </c>
      <c r="C390" t="s">
        <v>18</v>
      </c>
      <c r="D390" t="s">
        <v>9</v>
      </c>
      <c r="E390" t="s">
        <v>19</v>
      </c>
      <c r="F390">
        <v>5</v>
      </c>
      <c r="G390">
        <v>3061</v>
      </c>
      <c r="H390">
        <v>-123</v>
      </c>
      <c r="I390" t="str">
        <f t="shared" si="12"/>
        <v>Jan-2024</v>
      </c>
      <c r="J390" s="2">
        <f t="shared" si="13"/>
        <v>-4.0182946749428294E-2</v>
      </c>
    </row>
    <row r="391" spans="1:10" x14ac:dyDescent="0.3">
      <c r="A391">
        <v>1390</v>
      </c>
      <c r="B391" s="1">
        <v>45422</v>
      </c>
      <c r="C391" t="s">
        <v>18</v>
      </c>
      <c r="D391" t="s">
        <v>9</v>
      </c>
      <c r="E391" t="s">
        <v>10</v>
      </c>
      <c r="F391">
        <v>3</v>
      </c>
      <c r="G391">
        <v>15414</v>
      </c>
      <c r="H391">
        <v>1112</v>
      </c>
      <c r="I391" t="str">
        <f t="shared" si="12"/>
        <v>May-2024</v>
      </c>
      <c r="J391" s="2">
        <f t="shared" si="13"/>
        <v>7.2142208381990397E-2</v>
      </c>
    </row>
    <row r="392" spans="1:10" x14ac:dyDescent="0.3">
      <c r="A392">
        <v>1391</v>
      </c>
      <c r="B392" s="1">
        <v>45431</v>
      </c>
      <c r="C392" t="s">
        <v>18</v>
      </c>
      <c r="D392" t="s">
        <v>15</v>
      </c>
      <c r="E392" t="s">
        <v>20</v>
      </c>
      <c r="F392">
        <v>1</v>
      </c>
      <c r="G392">
        <v>7535</v>
      </c>
      <c r="H392">
        <v>2087</v>
      </c>
      <c r="I392" t="str">
        <f t="shared" si="12"/>
        <v>May-2024</v>
      </c>
      <c r="J392" s="2">
        <f t="shared" si="13"/>
        <v>0.27697412076974121</v>
      </c>
    </row>
    <row r="393" spans="1:10" x14ac:dyDescent="0.3">
      <c r="A393">
        <v>1392</v>
      </c>
      <c r="B393" s="1">
        <v>45648</v>
      </c>
      <c r="C393" t="s">
        <v>8</v>
      </c>
      <c r="D393" t="s">
        <v>11</v>
      </c>
      <c r="E393" t="s">
        <v>22</v>
      </c>
      <c r="F393">
        <v>4</v>
      </c>
      <c r="G393">
        <v>6563</v>
      </c>
      <c r="H393">
        <v>927</v>
      </c>
      <c r="I393" t="str">
        <f t="shared" si="12"/>
        <v>Dec-2024</v>
      </c>
      <c r="J393" s="2">
        <f t="shared" si="13"/>
        <v>0.14124638122809691</v>
      </c>
    </row>
    <row r="394" spans="1:10" x14ac:dyDescent="0.3">
      <c r="A394">
        <v>1393</v>
      </c>
      <c r="B394" s="1">
        <v>45497</v>
      </c>
      <c r="C394" t="s">
        <v>18</v>
      </c>
      <c r="D394" t="s">
        <v>11</v>
      </c>
      <c r="E394" t="s">
        <v>22</v>
      </c>
      <c r="F394">
        <v>5</v>
      </c>
      <c r="G394">
        <v>11967</v>
      </c>
      <c r="H394">
        <v>2531</v>
      </c>
      <c r="I394" t="str">
        <f t="shared" si="12"/>
        <v>Jul-2024</v>
      </c>
      <c r="J394" s="2">
        <f t="shared" si="13"/>
        <v>0.21149828695579509</v>
      </c>
    </row>
    <row r="395" spans="1:10" x14ac:dyDescent="0.3">
      <c r="A395">
        <v>1394</v>
      </c>
      <c r="B395" s="1">
        <v>45508</v>
      </c>
      <c r="C395" t="s">
        <v>18</v>
      </c>
      <c r="D395" t="s">
        <v>9</v>
      </c>
      <c r="E395" t="s">
        <v>14</v>
      </c>
      <c r="F395">
        <v>2</v>
      </c>
      <c r="G395">
        <v>19367</v>
      </c>
      <c r="H395">
        <v>3611</v>
      </c>
      <c r="I395" t="str">
        <f t="shared" si="12"/>
        <v>Aug-2024</v>
      </c>
      <c r="J395" s="2">
        <f t="shared" si="13"/>
        <v>0.18645117984199927</v>
      </c>
    </row>
    <row r="396" spans="1:10" x14ac:dyDescent="0.3">
      <c r="A396">
        <v>1395</v>
      </c>
      <c r="B396" s="1">
        <v>45373</v>
      </c>
      <c r="C396" t="s">
        <v>13</v>
      </c>
      <c r="D396" t="s">
        <v>9</v>
      </c>
      <c r="E396" t="s">
        <v>10</v>
      </c>
      <c r="F396">
        <v>2</v>
      </c>
      <c r="G396">
        <v>4120</v>
      </c>
      <c r="H396">
        <v>611</v>
      </c>
      <c r="I396" t="str">
        <f t="shared" si="12"/>
        <v>Mar-2024</v>
      </c>
      <c r="J396" s="2">
        <f t="shared" si="13"/>
        <v>0.14830097087378641</v>
      </c>
    </row>
    <row r="397" spans="1:10" x14ac:dyDescent="0.3">
      <c r="A397">
        <v>1396</v>
      </c>
      <c r="B397" s="1">
        <v>45396</v>
      </c>
      <c r="C397" t="s">
        <v>18</v>
      </c>
      <c r="D397" t="s">
        <v>15</v>
      </c>
      <c r="E397" t="s">
        <v>20</v>
      </c>
      <c r="F397">
        <v>4</v>
      </c>
      <c r="G397">
        <v>19158</v>
      </c>
      <c r="H397">
        <v>2617</v>
      </c>
      <c r="I397" t="str">
        <f t="shared" si="12"/>
        <v>Apr-2024</v>
      </c>
      <c r="J397" s="2">
        <f t="shared" si="13"/>
        <v>0.13660089779726484</v>
      </c>
    </row>
    <row r="398" spans="1:10" x14ac:dyDescent="0.3">
      <c r="A398">
        <v>1397</v>
      </c>
      <c r="B398" s="1">
        <v>45484</v>
      </c>
      <c r="C398" t="s">
        <v>8</v>
      </c>
      <c r="D398" t="s">
        <v>9</v>
      </c>
      <c r="E398" t="s">
        <v>19</v>
      </c>
      <c r="F398">
        <v>5</v>
      </c>
      <c r="G398">
        <v>16872</v>
      </c>
      <c r="H398">
        <v>4267</v>
      </c>
      <c r="I398" t="str">
        <f t="shared" si="12"/>
        <v>Jul-2024</v>
      </c>
      <c r="J398" s="2">
        <f t="shared" si="13"/>
        <v>0.25290422000948315</v>
      </c>
    </row>
    <row r="399" spans="1:10" x14ac:dyDescent="0.3">
      <c r="A399">
        <v>1398</v>
      </c>
      <c r="B399" s="1">
        <v>45525</v>
      </c>
      <c r="C399" t="s">
        <v>13</v>
      </c>
      <c r="D399" t="s">
        <v>15</v>
      </c>
      <c r="E399" t="s">
        <v>20</v>
      </c>
      <c r="F399">
        <v>3</v>
      </c>
      <c r="G399">
        <v>18466</v>
      </c>
      <c r="H399">
        <v>3495</v>
      </c>
      <c r="I399" t="str">
        <f t="shared" si="12"/>
        <v>Aug-2024</v>
      </c>
      <c r="J399" s="2">
        <f t="shared" si="13"/>
        <v>0.18926676053287123</v>
      </c>
    </row>
    <row r="400" spans="1:10" x14ac:dyDescent="0.3">
      <c r="A400">
        <v>1399</v>
      </c>
      <c r="B400" s="1">
        <v>45492</v>
      </c>
      <c r="C400" t="s">
        <v>18</v>
      </c>
      <c r="D400" t="s">
        <v>11</v>
      </c>
      <c r="E400" t="s">
        <v>22</v>
      </c>
      <c r="F400">
        <v>4</v>
      </c>
      <c r="G400">
        <v>19249</v>
      </c>
      <c r="H400">
        <v>-14</v>
      </c>
      <c r="I400" t="str">
        <f t="shared" si="12"/>
        <v>Jul-2024</v>
      </c>
      <c r="J400" s="2">
        <f t="shared" si="13"/>
        <v>-7.2731050963686429E-4</v>
      </c>
    </row>
    <row r="401" spans="1:10" x14ac:dyDescent="0.3">
      <c r="A401">
        <v>1400</v>
      </c>
      <c r="B401" s="1">
        <v>45655</v>
      </c>
      <c r="C401" t="s">
        <v>8</v>
      </c>
      <c r="D401" t="s">
        <v>11</v>
      </c>
      <c r="E401" t="s">
        <v>12</v>
      </c>
      <c r="F401">
        <v>3</v>
      </c>
      <c r="G401">
        <v>15283</v>
      </c>
      <c r="H401">
        <v>2934</v>
      </c>
      <c r="I401" t="str">
        <f t="shared" si="12"/>
        <v>Dec-2024</v>
      </c>
      <c r="J401" s="2">
        <f t="shared" si="13"/>
        <v>0.19197801478767257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915D6-DB88-4D5B-96C5-D58EDBFFE90B}">
  <dimension ref="A3:C7"/>
  <sheetViews>
    <sheetView topLeftCell="D1" zoomScale="179" zoomScaleNormal="179" workbookViewId="0">
      <selection activeCell="G23" sqref="G23"/>
    </sheetView>
  </sheetViews>
  <sheetFormatPr defaultRowHeight="14.4" x14ac:dyDescent="0.3"/>
  <cols>
    <col min="1" max="1" width="12.5546875" bestFit="1" customWidth="1"/>
    <col min="2" max="2" width="12.109375" bestFit="1" customWidth="1"/>
    <col min="3" max="3" width="24" bestFit="1" customWidth="1"/>
  </cols>
  <sheetData>
    <row r="3" spans="1:3" x14ac:dyDescent="0.3">
      <c r="A3" s="3" t="s">
        <v>26</v>
      </c>
      <c r="B3" t="s">
        <v>29</v>
      </c>
      <c r="C3" t="s">
        <v>31</v>
      </c>
    </row>
    <row r="4" spans="1:3" x14ac:dyDescent="0.3">
      <c r="A4" s="4" t="s">
        <v>15</v>
      </c>
      <c r="B4" s="9">
        <v>27777</v>
      </c>
      <c r="C4" s="5">
        <v>0.20969172163450997</v>
      </c>
    </row>
    <row r="5" spans="1:3" x14ac:dyDescent="0.3">
      <c r="A5" s="4" t="s">
        <v>11</v>
      </c>
      <c r="B5" s="9">
        <v>27405</v>
      </c>
      <c r="C5" s="5">
        <v>0.1797020108227613</v>
      </c>
    </row>
    <row r="6" spans="1:3" x14ac:dyDescent="0.3">
      <c r="A6" s="4" t="s">
        <v>9</v>
      </c>
      <c r="B6" s="9">
        <v>34219</v>
      </c>
      <c r="C6" s="5">
        <v>0.23833164114787334</v>
      </c>
    </row>
    <row r="7" spans="1:3" x14ac:dyDescent="0.3">
      <c r="A7" s="4" t="s">
        <v>27</v>
      </c>
      <c r="B7" s="9">
        <v>89401</v>
      </c>
      <c r="C7" s="5">
        <v>0.20761319035935052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2CAA-E6BC-4420-B5B7-3AD1E29B1EC4}">
  <dimension ref="A1"/>
  <sheetViews>
    <sheetView showGridLines="0" tabSelected="1" topLeftCell="A10" zoomScale="99" zoomScaleNormal="99" workbookViewId="0">
      <selection activeCell="S2" sqref="S2"/>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DOUGHNUT CHART</vt:lpstr>
      <vt:lpstr>line chart</vt:lpstr>
      <vt:lpstr>Sales_Data</vt:lpstr>
      <vt:lpstr>DOUGHNUT CHART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Asmita Sarkar</cp:lastModifiedBy>
  <dcterms:created xsi:type="dcterms:W3CDTF">2026-02-10T07:25:20Z</dcterms:created>
  <dcterms:modified xsi:type="dcterms:W3CDTF">2026-05-03T18:39:48Z</dcterms:modified>
</cp:coreProperties>
</file>